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Customer Master" sheetId="2" state="visible" r:id="rId4"/>
    <sheet name="2. Ship-To Master" sheetId="3" state="visible" r:id="rId5"/>
    <sheet name="3. Material Master" sheetId="4" state="visible" r:id="rId6"/>
    <sheet name="4. Customer-Material" sheetId="5" state="visible" r:id="rId7"/>
    <sheet name="5. Pricing Conditions" sheetId="6" state="visible" r:id="rId8"/>
    <sheet name="6. Payment Terms" sheetId="7" state="visible" r:id="rId9"/>
    <sheet name="7. UOM Conversions" sheetId="8" state="visible" r:id="rId10"/>
    <sheet name="8. Past Orders" sheetId="9" state="visible" r:id="rId11"/>
    <sheet name="9. Order Anomaly Base" sheetId="10" state="visible" r:id="rId12"/>
    <sheet name="10. Master Data Flag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<sst xmlns="http://schemas.openxmlformats.org/spreadsheetml/2006/main" count="1879" uniqueCount="774">
  <si>
    <t xml:space="preserve">ASOE — Local Master Data &amp; Transaction Seed File</t>
  </si>
  <si>
    <t xml:space="preserve">Replicated from SAP ECC 6.0 · ASOE Local Database Seed · v1.0 · January 2025</t>
  </si>
  <si>
    <t xml:space="preserve">Sheet</t>
  </si>
  <si>
    <t xml:space="preserve">SAP Table Equiv.</t>
  </si>
  <si>
    <t xml:space="preserve">Description</t>
  </si>
  <si>
    <t xml:space="preserve">1. Customer Master</t>
  </si>
  <si>
    <t xml:space="preserve">KNA1 / KNB1</t>
  </si>
  <si>
    <t xml:space="preserve">Customer accounts — sold-to, bill-to, credit terms, pricing procedure, account group</t>
  </si>
  <si>
    <t xml:space="preserve">2. Ship-To Master</t>
  </si>
  <si>
    <t xml:space="preserve">KNVP / KNVV</t>
  </si>
  <si>
    <t xml:space="preserve">Ship-to parties, delivery addresses, warehouse codes, linked to sold-to customer</t>
  </si>
  <si>
    <t xml:space="preserve">3. Material Master</t>
  </si>
  <si>
    <t xml:space="preserve">MARA / MARC</t>
  </si>
  <si>
    <t xml:space="preserve">Products/SKUs — descriptions, base UOM, sales UOM, conversion factors, pricing unit</t>
  </si>
  <si>
    <t xml:space="preserve">4. Customer-Material</t>
  </si>
  <si>
    <t xml:space="preserve">KNMT</t>
  </si>
  <si>
    <t xml:space="preserve">Customer-specific material info: customer's own SKU code, description overrides</t>
  </si>
  <si>
    <t xml:space="preserve">5. Pricing Conditions</t>
  </si>
  <si>
    <t xml:space="preserve">A004 / A005</t>
  </si>
  <si>
    <t xml:space="preserve">Contract prices per customer+material — validity dates, price scales</t>
  </si>
  <si>
    <t xml:space="preserve">6. Payment Terms</t>
  </si>
  <si>
    <t xml:space="preserve">T052</t>
  </si>
  <si>
    <t xml:space="preserve">Allowed payment terms per customer — Net 30, Net 45, 2/10 Net 30 etc.</t>
  </si>
  <si>
    <t xml:space="preserve">7. UOM Conversions</t>
  </si>
  <si>
    <t xml:space="preserve">T006 / MARM</t>
  </si>
  <si>
    <t xml:space="preserve">Unit of measure conversions: EA→CS, CS→PL, PL→TRK by material</t>
  </si>
  <si>
    <t xml:space="preserve">8. Past Orders</t>
  </si>
  <si>
    <t xml:space="preserve">VBAK / VBAP</t>
  </si>
  <si>
    <t xml:space="preserve">6-month order history — used for anomaly detection baseline (qty, value, frequency)</t>
  </si>
  <si>
    <t xml:space="preserve">9. Order Anomaly Base</t>
  </si>
  <si>
    <t xml:space="preserve">Derived</t>
  </si>
  <si>
    <t xml:space="preserve">Pre-computed baselines: avg qty, std dev, avg value per customer+SKU — feeds EC-15</t>
  </si>
  <si>
    <t xml:space="preserve">10. Master Data Flags</t>
  </si>
  <si>
    <t xml:space="preserve">ASOE</t>
  </si>
  <si>
    <t xml:space="preserve">Known validation issues seeded for testing: missing ship-tos, unknown SKUs per EC-13</t>
  </si>
  <si>
    <t xml:space="preserve">Customer Master — SAP KNA1 / KNB1 (General + Company Code Data)</t>
  </si>
  <si>
    <t xml:space="preserve">KUNNR
Customer No.</t>
  </si>
  <si>
    <t xml:space="preserve">NAME1
Customer Name</t>
  </si>
  <si>
    <t xml:space="preserve">KTOKD
Account Group</t>
  </si>
  <si>
    <t xml:space="preserve">VKORG
Sales Org</t>
  </si>
  <si>
    <t xml:space="preserve">VTWEG
Distr Channel</t>
  </si>
  <si>
    <t xml:space="preserve">SPART
Division</t>
  </si>
  <si>
    <t xml:space="preserve">VKBUR
Sales Office</t>
  </si>
  <si>
    <t xml:space="preserve">KALKS
Pricing Proc.</t>
  </si>
  <si>
    <t xml:space="preserve">WAERS
Currency</t>
  </si>
  <si>
    <t xml:space="preserve">ZTERM
Payment Terms</t>
  </si>
  <si>
    <t xml:space="preserve">KDGRP
Cust Group</t>
  </si>
  <si>
    <t xml:space="preserve">LOEVM
Deletion Flag</t>
  </si>
  <si>
    <t xml:space="preserve">AKONT
Recon Account</t>
  </si>
  <si>
    <t xml:space="preserve">REPRF
Credit Check</t>
  </si>
  <si>
    <t xml:space="preserve">KRELI
Credit Limit</t>
  </si>
  <si>
    <t xml:space="preserve">ERDAT
Created Date</t>
  </si>
  <si>
    <t xml:space="preserve">ERNAM
Created By</t>
  </si>
  <si>
    <t xml:space="preserve">STATUS
ASO Status</t>
  </si>
  <si>
    <t xml:space="preserve">C0001</t>
  </si>
  <si>
    <t xml:space="preserve">Walmart Inc.</t>
  </si>
  <si>
    <t xml:space="preserve">KUNA</t>
  </si>
  <si>
    <t xml:space="preserve">1000</t>
  </si>
  <si>
    <t xml:space="preserve">10</t>
  </si>
  <si>
    <t xml:space="preserve">00</t>
  </si>
  <si>
    <t xml:space="preserve">SE01</t>
  </si>
  <si>
    <t xml:space="preserve">RVAA01</t>
  </si>
  <si>
    <t xml:space="preserve">USD</t>
  </si>
  <si>
    <t xml:space="preserve">NT30</t>
  </si>
  <si>
    <t xml:space="preserve">01</t>
  </si>
  <si>
    <t xml:space="preserve">140000</t>
  </si>
  <si>
    <t xml:space="preserve">B</t>
  </si>
  <si>
    <t xml:space="preserve">5000000</t>
  </si>
  <si>
    <t xml:space="preserve">2018-01-15</t>
  </si>
  <si>
    <t xml:space="preserve">SAPBATCH</t>
  </si>
  <si>
    <t xml:space="preserve">ACTIVE</t>
  </si>
  <si>
    <t xml:space="preserve">C0002</t>
  </si>
  <si>
    <t xml:space="preserve">Kroger Co.</t>
  </si>
  <si>
    <t xml:space="preserve">MW01</t>
  </si>
  <si>
    <t xml:space="preserve">NT45</t>
  </si>
  <si>
    <t xml:space="preserve">3000000</t>
  </si>
  <si>
    <t xml:space="preserve">2018-03-22</t>
  </si>
  <si>
    <t xml:space="preserve">C0003</t>
  </si>
  <si>
    <t xml:space="preserve">Target Corporation</t>
  </si>
  <si>
    <t xml:space="preserve">NA01</t>
  </si>
  <si>
    <t xml:space="preserve">4000000</t>
  </si>
  <si>
    <t xml:space="preserve">2018-06-10</t>
  </si>
  <si>
    <t xml:space="preserve">C0004</t>
  </si>
  <si>
    <t xml:space="preserve">Costco Wholesale</t>
  </si>
  <si>
    <t xml:space="preserve">WE01</t>
  </si>
  <si>
    <t xml:space="preserve">02</t>
  </si>
  <si>
    <t xml:space="preserve">A</t>
  </si>
  <si>
    <t xml:space="preserve">8000000</t>
  </si>
  <si>
    <t xml:space="preserve">2019-01-05</t>
  </si>
  <si>
    <t xml:space="preserve">C0005</t>
  </si>
  <si>
    <t xml:space="preserve">Albertsons Companies</t>
  </si>
  <si>
    <t xml:space="preserve">SW01</t>
  </si>
  <si>
    <t xml:space="preserve">2500000</t>
  </si>
  <si>
    <t xml:space="preserve">2019-04-18</t>
  </si>
  <si>
    <t xml:space="preserve">C0006</t>
  </si>
  <si>
    <t xml:space="preserve">CVS Health Corp.</t>
  </si>
  <si>
    <t xml:space="preserve">NE01</t>
  </si>
  <si>
    <t xml:space="preserve">2000000</t>
  </si>
  <si>
    <t xml:space="preserve">2019-07-30</t>
  </si>
  <si>
    <t xml:space="preserve">C0007</t>
  </si>
  <si>
    <t xml:space="preserve">Amazon Retail</t>
  </si>
  <si>
    <t xml:space="preserve">03</t>
  </si>
  <si>
    <t xml:space="preserve">10000000</t>
  </si>
  <si>
    <t xml:space="preserve">2020-01-01</t>
  </si>
  <si>
    <t xml:space="preserve">C0008</t>
  </si>
  <si>
    <t xml:space="preserve">HEB LP</t>
  </si>
  <si>
    <t xml:space="preserve">3500000</t>
  </si>
  <si>
    <t xml:space="preserve">2019-09-12</t>
  </si>
  <si>
    <t xml:space="preserve">C0009</t>
  </si>
  <si>
    <t xml:space="preserve">Walgreens Co.</t>
  </si>
  <si>
    <t xml:space="preserve">2800000</t>
  </si>
  <si>
    <t xml:space="preserve">2018-11-20</t>
  </si>
  <si>
    <t xml:space="preserve">C0010</t>
  </si>
  <si>
    <t xml:space="preserve">Sam's Club (WMT-SC)</t>
  </si>
  <si>
    <t xml:space="preserve">6000000</t>
  </si>
  <si>
    <t xml:space="preserve">C0011</t>
  </si>
  <si>
    <t xml:space="preserve">Rite Aid Corporation</t>
  </si>
  <si>
    <t xml:space="preserve">1500000</t>
  </si>
  <si>
    <t xml:space="preserve">2020-03-10</t>
  </si>
  <si>
    <t xml:space="preserve">C0012</t>
  </si>
  <si>
    <t xml:space="preserve">Whole Foods Market</t>
  </si>
  <si>
    <t xml:space="preserve">1800000</t>
  </si>
  <si>
    <t xml:space="preserve">2020-05-22</t>
  </si>
  <si>
    <t xml:space="preserve">C0013</t>
  </si>
  <si>
    <t xml:space="preserve">Fresh Market Inc.</t>
  </si>
  <si>
    <t xml:space="preserve">C</t>
  </si>
  <si>
    <t xml:space="preserve">500000</t>
  </si>
  <si>
    <t xml:space="preserve">2025-01-08</t>
  </si>
  <si>
    <t xml:space="preserve">JDOE</t>
  </si>
  <si>
    <t xml:space="preserve">NEW</t>
  </si>
  <si>
    <t xml:space="preserve">Ship-To Master — SAP KNVP / KNVV (Partner Functions + Sales Area Data)</t>
  </si>
  <si>
    <t xml:space="preserve">SHIPTO_ID
Ship-To Code</t>
  </si>
  <si>
    <t xml:space="preserve">KUNNR
Sold-To No.</t>
  </si>
  <si>
    <t xml:space="preserve">NAME1
DC / Ship-To Name</t>
  </si>
  <si>
    <t xml:space="preserve">STRAS
Street Address</t>
  </si>
  <si>
    <t xml:space="preserve">ORT01
City</t>
  </si>
  <si>
    <t xml:space="preserve">REGIO
State</t>
  </si>
  <si>
    <t xml:space="preserve">PSTLZ
Zip Code</t>
  </si>
  <si>
    <t xml:space="preserve">LAND1
Country</t>
  </si>
  <si>
    <t xml:space="preserve">KNREF
DC Reference</t>
  </si>
  <si>
    <t xml:space="preserve">LGPLA
Warehouse Code</t>
  </si>
  <si>
    <t xml:space="preserve">STATUS
Status</t>
  </si>
  <si>
    <t xml:space="preserve">SH-WM-6080</t>
  </si>
  <si>
    <t xml:space="preserve">Walmart DC #6080</t>
  </si>
  <si>
    <t xml:space="preserve">702 SW 8th St</t>
  </si>
  <si>
    <t xml:space="preserve">Bentonville</t>
  </si>
  <si>
    <t xml:space="preserve">AR</t>
  </si>
  <si>
    <t xml:space="preserve">72712</t>
  </si>
  <si>
    <t xml:space="preserve">US</t>
  </si>
  <si>
    <t xml:space="preserve">DC-6080</t>
  </si>
  <si>
    <t xml:space="preserve">WM-WH-6080</t>
  </si>
  <si>
    <t xml:space="preserve">SH-WM-7082</t>
  </si>
  <si>
    <t xml:space="preserve">Walmart DC #7082</t>
  </si>
  <si>
    <t xml:space="preserve">1 Sam Walton Blvd</t>
  </si>
  <si>
    <t xml:space="preserve">Searcy</t>
  </si>
  <si>
    <t xml:space="preserve">72143</t>
  </si>
  <si>
    <t xml:space="preserve">DC-7082</t>
  </si>
  <si>
    <t xml:space="preserve">WM-WH-7082</t>
  </si>
  <si>
    <t xml:space="preserve">SH-KR-412</t>
  </si>
  <si>
    <t xml:space="preserve">Kroger DC #412</t>
  </si>
  <si>
    <t xml:space="preserve">400 Distribution Dr</t>
  </si>
  <si>
    <t xml:space="preserve">Romeoville</t>
  </si>
  <si>
    <t xml:space="preserve">IL</t>
  </si>
  <si>
    <t xml:space="preserve">60446</t>
  </si>
  <si>
    <t xml:space="preserve">DC-412</t>
  </si>
  <si>
    <t xml:space="preserve">KR-WH-412</t>
  </si>
  <si>
    <t xml:space="preserve">SH-KR-720</t>
  </si>
  <si>
    <t xml:space="preserve">Kroger DC #720</t>
  </si>
  <si>
    <t xml:space="preserve">8010 Blain Hwy</t>
  </si>
  <si>
    <t xml:space="preserve">Waverly</t>
  </si>
  <si>
    <t xml:space="preserve">OH</t>
  </si>
  <si>
    <t xml:space="preserve">45690</t>
  </si>
  <si>
    <t xml:space="preserve">DC-720</t>
  </si>
  <si>
    <t xml:space="preserve">KR-WH-720</t>
  </si>
  <si>
    <t xml:space="preserve">SH-TG-RDC</t>
  </si>
  <si>
    <t xml:space="preserve">Target RDC National</t>
  </si>
  <si>
    <t xml:space="preserve">33 McLeland Rd</t>
  </si>
  <si>
    <t xml:space="preserve">Woodland</t>
  </si>
  <si>
    <t xml:space="preserve">MN</t>
  </si>
  <si>
    <t xml:space="preserve">55125</t>
  </si>
  <si>
    <t xml:space="preserve">RDC-NAT</t>
  </si>
  <si>
    <t xml:space="preserve">TG-WH-RDC</t>
  </si>
  <si>
    <t xml:space="preserve">SH-TG-500</t>
  </si>
  <si>
    <t xml:space="preserve">Target DC #500</t>
  </si>
  <si>
    <t xml:space="preserve">7000 Target Pkwy N</t>
  </si>
  <si>
    <t xml:space="preserve">Brooklyn Park</t>
  </si>
  <si>
    <t xml:space="preserve">55445</t>
  </si>
  <si>
    <t xml:space="preserve">DC-500</t>
  </si>
  <si>
    <t xml:space="preserve">TG-WH-500</t>
  </si>
  <si>
    <t xml:space="preserve">SH-CC-731</t>
  </si>
  <si>
    <t xml:space="preserve">Costco DC #731</t>
  </si>
  <si>
    <t xml:space="preserve">999 Lake Dr</t>
  </si>
  <si>
    <t xml:space="preserve">Issaquah</t>
  </si>
  <si>
    <t xml:space="preserve">WA</t>
  </si>
  <si>
    <t xml:space="preserve">98027</t>
  </si>
  <si>
    <t xml:space="preserve">DC-731</t>
  </si>
  <si>
    <t xml:space="preserve">CC-WH-731</t>
  </si>
  <si>
    <t xml:space="preserve">SH-ABS-29</t>
  </si>
  <si>
    <t xml:space="preserve">Albertsons DC #29</t>
  </si>
  <si>
    <t xml:space="preserve">550 S Brea Blvd</t>
  </si>
  <si>
    <t xml:space="preserve">Brea</t>
  </si>
  <si>
    <t xml:space="preserve">CA</t>
  </si>
  <si>
    <t xml:space="preserve">92821</t>
  </si>
  <si>
    <t xml:space="preserve">DC-29</t>
  </si>
  <si>
    <t xml:space="preserve">ABS-WH-29</t>
  </si>
  <si>
    <t xml:space="preserve">SH-ABS-39</t>
  </si>
  <si>
    <t xml:space="preserve">Albertsons DC #39</t>
  </si>
  <si>
    <t xml:space="preserve">4021 Cherry Ave</t>
  </si>
  <si>
    <t xml:space="preserve">Long Beach</t>
  </si>
  <si>
    <t xml:space="preserve">90807</t>
  </si>
  <si>
    <t xml:space="preserve">DC-39</t>
  </si>
  <si>
    <t xml:space="preserve">ABS-WH-39</t>
  </si>
  <si>
    <t xml:space="preserve">SH-CVS-900</t>
  </si>
  <si>
    <t xml:space="preserve">CVS NDC #900</t>
  </si>
  <si>
    <t xml:space="preserve">1 CVS Dr</t>
  </si>
  <si>
    <t xml:space="preserve">Woonsocket</t>
  </si>
  <si>
    <t xml:space="preserve">RI</t>
  </si>
  <si>
    <t xml:space="preserve">02895</t>
  </si>
  <si>
    <t xml:space="preserve">NDC-900</t>
  </si>
  <si>
    <t xml:space="preserve">CVS-WH-900</t>
  </si>
  <si>
    <t xml:space="preserve">SH-AMZ-PHX</t>
  </si>
  <si>
    <t xml:space="preserve">Amazon FC Phoenix</t>
  </si>
  <si>
    <t xml:space="preserve">1600 N Dysart Rd</t>
  </si>
  <si>
    <t xml:space="preserve">Goodyear</t>
  </si>
  <si>
    <t xml:space="preserve">AZ</t>
  </si>
  <si>
    <t xml:space="preserve">85395</t>
  </si>
  <si>
    <t xml:space="preserve">PHX-FC</t>
  </si>
  <si>
    <t xml:space="preserve">AMZ-WH-PHX</t>
  </si>
  <si>
    <t xml:space="preserve">SH-AMZ-DAL</t>
  </si>
  <si>
    <t xml:space="preserve">Amazon FC Dallas</t>
  </si>
  <si>
    <t xml:space="preserve">1301 Chalk Hill Rd</t>
  </si>
  <si>
    <t xml:space="preserve">Dallas</t>
  </si>
  <si>
    <t xml:space="preserve">TX</t>
  </si>
  <si>
    <t xml:space="preserve">75212</t>
  </si>
  <si>
    <t xml:space="preserve">DAL-FC</t>
  </si>
  <si>
    <t xml:space="preserve">AMZ-WH-DAL</t>
  </si>
  <si>
    <t xml:space="preserve">SH-AMZ-SEA</t>
  </si>
  <si>
    <t xml:space="preserve">Amazon FC Seattle</t>
  </si>
  <si>
    <t xml:space="preserve">2700 Utah Ave S</t>
  </si>
  <si>
    <t xml:space="preserve">Seattle</t>
  </si>
  <si>
    <t xml:space="preserve">98134</t>
  </si>
  <si>
    <t xml:space="preserve">SEA-FC</t>
  </si>
  <si>
    <t xml:space="preserve">AMZ-WH-SEA</t>
  </si>
  <si>
    <t xml:space="preserve">SH-HEB-07</t>
  </si>
  <si>
    <t xml:space="preserve">HEB DC #7</t>
  </si>
  <si>
    <t xml:space="preserve">4821 S Presa St</t>
  </si>
  <si>
    <t xml:space="preserve">San Antonio</t>
  </si>
  <si>
    <t xml:space="preserve">78210</t>
  </si>
  <si>
    <t xml:space="preserve">DC-7</t>
  </si>
  <si>
    <t xml:space="preserve">HEB-WH-7</t>
  </si>
  <si>
    <t xml:space="preserve">SH-WAG-NDC</t>
  </si>
  <si>
    <t xml:space="preserve">Walgreens NDC</t>
  </si>
  <si>
    <t xml:space="preserve">200 Wilmot Rd</t>
  </si>
  <si>
    <t xml:space="preserve">Mount Prospect</t>
  </si>
  <si>
    <t xml:space="preserve">60056</t>
  </si>
  <si>
    <t xml:space="preserve">NDC</t>
  </si>
  <si>
    <t xml:space="preserve">WAG-WH-NDC</t>
  </si>
  <si>
    <t xml:space="preserve">SH-SAM-441</t>
  </si>
  <si>
    <t xml:space="preserve">Sam's Club DC #441</t>
  </si>
  <si>
    <t xml:space="preserve">8100 Sandy Lake Rd</t>
  </si>
  <si>
    <t xml:space="preserve">Fort Worth</t>
  </si>
  <si>
    <t xml:space="preserve">76177</t>
  </si>
  <si>
    <t xml:space="preserve">DC-441</t>
  </si>
  <si>
    <t xml:space="preserve">SAM-WH-441</t>
  </si>
  <si>
    <t xml:space="preserve">SH-RAD-NDC</t>
  </si>
  <si>
    <t xml:space="preserve">Rite Aid NDC</t>
  </si>
  <si>
    <t xml:space="preserve">30 Hunter Ln</t>
  </si>
  <si>
    <t xml:space="preserve">Perryman</t>
  </si>
  <si>
    <t xml:space="preserve">MD</t>
  </si>
  <si>
    <t xml:space="preserve">21130</t>
  </si>
  <si>
    <t xml:space="preserve">NDC-PA</t>
  </si>
  <si>
    <t xml:space="preserve">RAD-WH-NDC</t>
  </si>
  <si>
    <t xml:space="preserve">SH-WFM-900</t>
  </si>
  <si>
    <t xml:space="preserve">WFM DC #900</t>
  </si>
  <si>
    <t xml:space="preserve">550 Bowie St</t>
  </si>
  <si>
    <t xml:space="preserve">Landover</t>
  </si>
  <si>
    <t xml:space="preserve">20785</t>
  </si>
  <si>
    <t xml:space="preserve">DC-900</t>
  </si>
  <si>
    <t xml:space="preserve">WFM-WH-900</t>
  </si>
  <si>
    <t xml:space="preserve">SH-FM-GBO</t>
  </si>
  <si>
    <t xml:space="preserve">Fresh Market DC GBO</t>
  </si>
  <si>
    <t xml:space="preserve">600 Green Valley Rd</t>
  </si>
  <si>
    <t xml:space="preserve">Greensboro</t>
  </si>
  <si>
    <t xml:space="preserve">NC</t>
  </si>
  <si>
    <t xml:space="preserve">27408</t>
  </si>
  <si>
    <t xml:space="preserve">DC-GBO</t>
  </si>
  <si>
    <t xml:space="preserve">FM-WH-GBO</t>
  </si>
  <si>
    <t xml:space="preserve">⚠  EC-13 TEST: Ship-to code 'SC-TX-441' (Sam's Club Fort Worth alternate DC) is intentionally NOT in this master — triggers Master Data Not Found validation failure</t>
  </si>
  <si>
    <t xml:space="preserve">Material Master — SAP MARA / MARC (General + Plant Data)</t>
  </si>
  <si>
    <t xml:space="preserve">MATNR
Material No.</t>
  </si>
  <si>
    <t xml:space="preserve">MAKTX
Description</t>
  </si>
  <si>
    <t xml:space="preserve">MATKL
Mat. Group</t>
  </si>
  <si>
    <t xml:space="preserve">MEINS
Base UOM</t>
  </si>
  <si>
    <t xml:space="preserve">VRKME
Sales UOM</t>
  </si>
  <si>
    <t xml:space="preserve">UMREZ
Num (UOM Conv.)</t>
  </si>
  <si>
    <t xml:space="preserve">UMREN
Den (UOM Conv.)</t>
  </si>
  <si>
    <t xml:space="preserve">BRGEW
Gross Wt (kg)</t>
  </si>
  <si>
    <t xml:space="preserve">NTGEW
Net Wt (kg)</t>
  </si>
  <si>
    <t xml:space="preserve">GEWEI
Wt Unit</t>
  </si>
  <si>
    <t xml:space="preserve">EAN11
EAN/UPC</t>
  </si>
  <si>
    <t xml:space="preserve">BISMT
Old Mat. No.</t>
  </si>
  <si>
    <t xml:space="preserve">MTPOS_MARA
Item Cat.</t>
  </si>
  <si>
    <t xml:space="preserve">LABOR
Lab / Office</t>
  </si>
  <si>
    <t xml:space="preserve">ERSDA
Created Date</t>
  </si>
  <si>
    <t xml:space="preserve">STATUS
MM Status</t>
  </si>
  <si>
    <t xml:space="preserve">SKU-0042</t>
  </si>
  <si>
    <t xml:space="preserve">12-pk Cola 355ml</t>
  </si>
  <si>
    <t xml:space="preserve">BVRG</t>
  </si>
  <si>
    <t xml:space="preserve">EA</t>
  </si>
  <si>
    <t xml:space="preserve">CS</t>
  </si>
  <si>
    <t xml:space="preserve">KG</t>
  </si>
  <si>
    <t xml:space="preserve">00012345678901</t>
  </si>
  <si>
    <t xml:space="preserve">NORM</t>
  </si>
  <si>
    <t xml:space="preserve">LAB01</t>
  </si>
  <si>
    <t xml:space="preserve">2018-01-01</t>
  </si>
  <si>
    <t xml:space="preserve">SKU-0043</t>
  </si>
  <si>
    <t xml:space="preserve">12-pk Diet Cola 355ml</t>
  </si>
  <si>
    <t xml:space="preserve">00012345678902</t>
  </si>
  <si>
    <t xml:space="preserve">SKU-0051</t>
  </si>
  <si>
    <t xml:space="preserve">12-pk Zero Sugar 355ml</t>
  </si>
  <si>
    <t xml:space="preserve">00012345678903</t>
  </si>
  <si>
    <t xml:space="preserve">2019-03-15</t>
  </si>
  <si>
    <t xml:space="preserve">SKU-1180</t>
  </si>
  <si>
    <t xml:space="preserve">24-pk Water 500ml</t>
  </si>
  <si>
    <t xml:space="preserve">WATR</t>
  </si>
  <si>
    <t xml:space="preserve">00023456789001</t>
  </si>
  <si>
    <t xml:space="preserve">LAB02</t>
  </si>
  <si>
    <t xml:space="preserve">SKU-1181</t>
  </si>
  <si>
    <t xml:space="preserve">12-pk Sparkling Water 500ml</t>
  </si>
  <si>
    <t xml:space="preserve">00023456789002</t>
  </si>
  <si>
    <t xml:space="preserve">2018-06-01</t>
  </si>
  <si>
    <t xml:space="preserve">SKU-3310</t>
  </si>
  <si>
    <t xml:space="preserve">Snack Bar 48ct</t>
  </si>
  <si>
    <t xml:space="preserve">SNCK</t>
  </si>
  <si>
    <t xml:space="preserve">00034567890001</t>
  </si>
  <si>
    <t xml:space="preserve">LAB03</t>
  </si>
  <si>
    <t xml:space="preserve">2019-01-20</t>
  </si>
  <si>
    <t xml:space="preserve">SKU-3312</t>
  </si>
  <si>
    <t xml:space="preserve">Protein Bar 36ct</t>
  </si>
  <si>
    <t xml:space="preserve">00034567890002</t>
  </si>
  <si>
    <t xml:space="preserve">SKU-3315</t>
  </si>
  <si>
    <t xml:space="preserve">Granola Bar 60ct</t>
  </si>
  <si>
    <t xml:space="preserve">00034567890003</t>
  </si>
  <si>
    <t xml:space="preserve">2019-06-10</t>
  </si>
  <si>
    <t xml:space="preserve">SKU-3320</t>
  </si>
  <si>
    <t xml:space="preserve">Kids Bar 24ct</t>
  </si>
  <si>
    <t xml:space="preserve">00034567890004</t>
  </si>
  <si>
    <t xml:space="preserve">2020-02-14</t>
  </si>
  <si>
    <t xml:space="preserve">SKU-5521</t>
  </si>
  <si>
    <t xml:space="preserve">Family Pack x6</t>
  </si>
  <si>
    <t xml:space="preserve">PACK</t>
  </si>
  <si>
    <t xml:space="preserve">00055217890001</t>
  </si>
  <si>
    <t xml:space="preserve">LAB04</t>
  </si>
  <si>
    <t xml:space="preserve">2019-04-01</t>
  </si>
  <si>
    <t xml:space="preserve">SKU-5525</t>
  </si>
  <si>
    <t xml:space="preserve">Mega Pack x12</t>
  </si>
  <si>
    <t xml:space="preserve">00055257890001</t>
  </si>
  <si>
    <t xml:space="preserve">SKU-0099</t>
  </si>
  <si>
    <t xml:space="preserve">Juice 1L x12</t>
  </si>
  <si>
    <t xml:space="preserve">JUIC</t>
  </si>
  <si>
    <t xml:space="preserve">00009912345001</t>
  </si>
  <si>
    <t xml:space="preserve">2019-07-15</t>
  </si>
  <si>
    <t xml:space="preserve">SKU-7701</t>
  </si>
  <si>
    <t xml:space="preserve">Energy Drink 4pk 250ml</t>
  </si>
  <si>
    <t xml:space="preserve">ENRG</t>
  </si>
  <si>
    <t xml:space="preserve">00077017890001</t>
  </si>
  <si>
    <t xml:space="preserve">2020-01-10</t>
  </si>
  <si>
    <t xml:space="preserve">SKU-7705</t>
  </si>
  <si>
    <t xml:space="preserve">Energy Drink 8pk 250ml</t>
  </si>
  <si>
    <t xml:space="preserve">00077057890001</t>
  </si>
  <si>
    <t xml:space="preserve">⚠  EC-13 TEST: Material 'SKU-9910' (Variety Pack x8) is intentionally NOT in this master — triggers Material Not Found validation failure for Sam's Club PO-88432</t>
  </si>
  <si>
    <t xml:space="preserve">Customer-Material Info — SAP KNMT (Customer's Own Item Numbers &amp; Description Overrides)</t>
  </si>
  <si>
    <t xml:space="preserve">MATNR
Our SKU</t>
  </si>
  <si>
    <t xml:space="preserve">KDMAT
Cust. Item No.</t>
  </si>
  <si>
    <t xml:space="preserve">MAKTX_CUST
Cust. Description</t>
  </si>
  <si>
    <t xml:space="preserve">VRKME
Cust. UOM</t>
  </si>
  <si>
    <t xml:space="preserve">AKTNR
Cust. PO Ref.</t>
  </si>
  <si>
    <t xml:space="preserve">NOTES</t>
  </si>
  <si>
    <t xml:space="preserve">WM-042-COLA-12</t>
  </si>
  <si>
    <t xml:space="preserve">Coca-Cola 12pk Regular</t>
  </si>
  <si>
    <t xml:space="preserve">Walmart uses internal code WM-042</t>
  </si>
  <si>
    <t xml:space="preserve">WM-043-DIET-12</t>
  </si>
  <si>
    <t xml:space="preserve">Coca-Cola 12pk Diet</t>
  </si>
  <si>
    <t xml:space="preserve">WM-051-ZERO-12</t>
  </si>
  <si>
    <t xml:space="preserve">Coca-Cola 12pk Zero</t>
  </si>
  <si>
    <t xml:space="preserve">KR-1180-H2O-24</t>
  </si>
  <si>
    <t xml:space="preserve">Purified Water 24pk</t>
  </si>
  <si>
    <t xml:space="preserve">Kroger uses KR- prefix</t>
  </si>
  <si>
    <t xml:space="preserve">KR-1181-SPRK-12</t>
  </si>
  <si>
    <t xml:space="preserve">Sparkling Water 12pk</t>
  </si>
  <si>
    <t xml:space="preserve">TGT-3310-SNKBAR</t>
  </si>
  <si>
    <t xml:space="preserve">Snack Bar 48ct Display</t>
  </si>
  <si>
    <t xml:space="preserve">Target display pack</t>
  </si>
  <si>
    <t xml:space="preserve">CC-5521-FAM6</t>
  </si>
  <si>
    <t xml:space="preserve">Family Pack 6-unit</t>
  </si>
  <si>
    <t xml:space="preserve">Costco large format</t>
  </si>
  <si>
    <t xml:space="preserve">CC-5525-MEGA12</t>
  </si>
  <si>
    <t xml:space="preserve">Mega Pack 12-unit</t>
  </si>
  <si>
    <t xml:space="preserve">AMZN-B001COLA12</t>
  </si>
  <si>
    <t xml:space="preserve">Cola 12pk (Std)</t>
  </si>
  <si>
    <t xml:space="preserve">ASIN-B001</t>
  </si>
  <si>
    <t xml:space="preserve">Amazon ASIN reference</t>
  </si>
  <si>
    <t xml:space="preserve">AMZN-B002WAT24</t>
  </si>
  <si>
    <t xml:space="preserve">Water 24pk</t>
  </si>
  <si>
    <t xml:space="preserve">ASIN-B002</t>
  </si>
  <si>
    <t xml:space="preserve">HEB-042-COLA</t>
  </si>
  <si>
    <t xml:space="preserve">Cola 12pk</t>
  </si>
  <si>
    <t xml:space="preserve">HEB MXN pricing note on account</t>
  </si>
  <si>
    <t xml:space="preserve">WAG-1180-WAT</t>
  </si>
  <si>
    <t xml:space="preserve">Water 24pk (Restock)</t>
  </si>
  <si>
    <t xml:space="preserve">Emergency restock flag customer</t>
  </si>
  <si>
    <t xml:space="preserve">SAM-5521-FAM</t>
  </si>
  <si>
    <t xml:space="preserve">Sam's Club bulk</t>
  </si>
  <si>
    <t xml:space="preserve">WFM-3310-SNKORG</t>
  </si>
  <si>
    <t xml:space="preserve">Organic Snack Bar 48ct</t>
  </si>
  <si>
    <t xml:space="preserve">WFM has promotional pricing agreement</t>
  </si>
  <si>
    <t xml:space="preserve">Pricing Conditions — SAP Condition Table A004 (Customer+Material Contract Prices) + A005 (Promos)</t>
  </si>
  <si>
    <t xml:space="preserve">KNUMH
Cond. No.</t>
  </si>
  <si>
    <t xml:space="preserve">KAPPL
App.</t>
  </si>
  <si>
    <t xml:space="preserve">KSCHL
Cond. Type</t>
  </si>
  <si>
    <t xml:space="preserve">KUNNR
Customer</t>
  </si>
  <si>
    <t xml:space="preserve">MATNR
Material</t>
  </si>
  <si>
    <t xml:space="preserve">KBETR
Price (per KMEIN)</t>
  </si>
  <si>
    <t xml:space="preserve">KMEIN
Cond. UOM</t>
  </si>
  <si>
    <t xml:space="preserve">DATAB
Valid From</t>
  </si>
  <si>
    <t xml:space="preserve">DATBI
Valid To</t>
  </si>
  <si>
    <t xml:space="preserve">KONWA
Scale Basis</t>
  </si>
  <si>
    <t xml:space="preserve">STATUS</t>
  </si>
  <si>
    <t xml:space="preserve">CN-0001</t>
  </si>
  <si>
    <t xml:space="preserve">V</t>
  </si>
  <si>
    <t xml:space="preserve">PR00</t>
  </si>
  <si>
    <t xml:space="preserve">2024-01-01</t>
  </si>
  <si>
    <t xml:space="preserve">2025-12-31</t>
  </si>
  <si>
    <t xml:space="preserve">CN-0002</t>
  </si>
  <si>
    <t xml:space="preserve">CN-0003</t>
  </si>
  <si>
    <t xml:space="preserve">CN-0004</t>
  </si>
  <si>
    <t xml:space="preserve">CN-0005</t>
  </si>
  <si>
    <t xml:space="preserve">CN-0006</t>
  </si>
  <si>
    <t xml:space="preserve">CN-0007</t>
  </si>
  <si>
    <t xml:space="preserve">CN-0008</t>
  </si>
  <si>
    <t xml:space="preserve">CN-0009</t>
  </si>
  <si>
    <t xml:space="preserve">CN-0010</t>
  </si>
  <si>
    <t xml:space="preserve">CN-0011</t>
  </si>
  <si>
    <t xml:space="preserve">CN-0012</t>
  </si>
  <si>
    <t xml:space="preserve">CN-0013</t>
  </si>
  <si>
    <t xml:space="preserve">CN-0014</t>
  </si>
  <si>
    <t xml:space="preserve">CN-0015</t>
  </si>
  <si>
    <t xml:space="preserve">CN-0016</t>
  </si>
  <si>
    <t xml:space="preserve">CN-0017</t>
  </si>
  <si>
    <t xml:space="preserve">CN-0018</t>
  </si>
  <si>
    <t xml:space="preserve">CN-0019</t>
  </si>
  <si>
    <t xml:space="preserve">CN-0020</t>
  </si>
  <si>
    <t xml:space="preserve">CN-0021</t>
  </si>
  <si>
    <t xml:space="preserve">CN-0022</t>
  </si>
  <si>
    <t xml:space="preserve">CN-0023</t>
  </si>
  <si>
    <t xml:space="preserve">CN-0024</t>
  </si>
  <si>
    <t xml:space="preserve">CN-1001</t>
  </si>
  <si>
    <t xml:space="preserve">ZPROM</t>
  </si>
  <si>
    <t xml:space="preserve">2024-10-01</t>
  </si>
  <si>
    <t xml:space="preserve">2024-12-31</t>
  </si>
  <si>
    <t xml:space="preserve">EXPIRED</t>
  </si>
  <si>
    <t xml:space="preserve">CN-1002</t>
  </si>
  <si>
    <t xml:space="preserve">CN-1003</t>
  </si>
  <si>
    <t xml:space="preserve">2024-11-01</t>
  </si>
  <si>
    <t xml:space="preserve">CN-1004</t>
  </si>
  <si>
    <t xml:space="preserve">ZK04</t>
  </si>
  <si>
    <t xml:space="preserve">2024-09-01</t>
  </si>
  <si>
    <t xml:space="preserve">2024-12-15</t>
  </si>
  <si>
    <t xml:space="preserve">Payment Terms — SAP T052 (Allowed Terms per Customer)</t>
  </si>
  <si>
    <t xml:space="preserve">ZTERM
Term Code</t>
  </si>
  <si>
    <t xml:space="preserve">TEXT1
Description</t>
  </si>
  <si>
    <t xml:space="preserve">ZBD1T
Days 1</t>
  </si>
  <si>
    <t xml:space="preserve">ZBD1P
Discount %</t>
  </si>
  <si>
    <t xml:space="preserve">ZBD2T
Net Days</t>
  </si>
  <si>
    <t xml:space="preserve">KUNNR
Allowed For</t>
  </si>
  <si>
    <t xml:space="preserve">Net 30 Days</t>
  </si>
  <si>
    <t xml:space="preserve">C0001,C0003,C0004,C0005,C0006,C0007,C0008,C0009,C0010,C0011,C0012,C0013</t>
  </si>
  <si>
    <t xml:space="preserve">Net 45 Days</t>
  </si>
  <si>
    <t xml:space="preserve">C0002,C0011</t>
  </si>
  <si>
    <t xml:space="preserve">2N10</t>
  </si>
  <si>
    <t xml:space="preserve">2% 10 / Net 30</t>
  </si>
  <si>
    <t xml:space="preserve">C0004,C0007</t>
  </si>
  <si>
    <t xml:space="preserve">NT60</t>
  </si>
  <si>
    <t xml:space="preserve">Net 60 Days</t>
  </si>
  <si>
    <t xml:space="preserve">CIA</t>
  </si>
  <si>
    <t xml:space="preserve">Cash in Advance</t>
  </si>
  <si>
    <t xml:space="preserve">All new accounts</t>
  </si>
  <si>
    <t xml:space="preserve">LC</t>
  </si>
  <si>
    <t xml:space="preserve">Letter of Credit</t>
  </si>
  <si>
    <t xml:space="preserve">International only</t>
  </si>
  <si>
    <t xml:space="preserve">UOM Conversions — SAP MARM / T006 (Material Unit of Measure Conversions)</t>
  </si>
  <si>
    <t xml:space="preserve">MEINH
From UOM</t>
  </si>
  <si>
    <t xml:space="preserve">MEINS
To UOM</t>
  </si>
  <si>
    <t xml:space="preserve">UMREZ
Numerator</t>
  </si>
  <si>
    <t xml:space="preserve">UMREN
Denominator</t>
  </si>
  <si>
    <t xml:space="preserve">RATIO
(From per To)</t>
  </si>
  <si>
    <t xml:space="preserve">EAN11
GTIN (if leaf)</t>
  </si>
  <si>
    <t xml:space="preserve">12 individual cans per case</t>
  </si>
  <si>
    <t xml:space="preserve">PL</t>
  </si>
  <si>
    <t xml:space="preserve">72 cases per pallet (6×12)</t>
  </si>
  <si>
    <t xml:space="preserve">12 cans per case</t>
  </si>
  <si>
    <t xml:space="preserve">24 bottles per case</t>
  </si>
  <si>
    <t xml:space="preserve">56 cases per pallet</t>
  </si>
  <si>
    <t xml:space="preserve">48 bars per case (display)</t>
  </si>
  <si>
    <t xml:space="preserve">24 individual bars per case — KEY FOR EC-10 UOM MISMATCH TEST</t>
  </si>
  <si>
    <t xml:space="preserve">Family pack — sold in CS, no EA breakdown</t>
  </si>
  <si>
    <t xml:space="preserve">Mega pack — sold in CS</t>
  </si>
  <si>
    <t xml:space="preserve">12 juice bottles per case</t>
  </si>
  <si>
    <t xml:space="preserve">24 4-packs per case</t>
  </si>
  <si>
    <t xml:space="preserve">12 8-packs per case</t>
  </si>
  <si>
    <t xml:space="preserve">Past Orders (6-Month History) — SAP VBAK (Header) + VBAP (Line Items) · Used for Anomaly Detection Baseline</t>
  </si>
  <si>
    <t xml:space="preserve">VBELN
Order No.</t>
  </si>
  <si>
    <t xml:space="preserve">AUDAT
Order Date</t>
  </si>
  <si>
    <t xml:space="preserve">BSTDK
PO Date</t>
  </si>
  <si>
    <t xml:space="preserve">BSTNK
Cust. PO No.</t>
  </si>
  <si>
    <t xml:space="preserve">KWMENG
Qty (CS)</t>
  </si>
  <si>
    <t xml:space="preserve">NETPR
Net Price</t>
  </si>
  <si>
    <t xml:space="preserve">WAERK
Currency</t>
  </si>
  <si>
    <t xml:space="preserve">NETWR
Net Value</t>
  </si>
  <si>
    <t xml:space="preserve">LFDAT
Del. Date</t>
  </si>
  <si>
    <t xml:space="preserve">WBSTK
GI Status</t>
  </si>
  <si>
    <t xml:space="preserve">FKSTK
Bill Status</t>
  </si>
  <si>
    <t xml:space="preserve">SO-70001</t>
  </si>
  <si>
    <t xml:space="preserve">2024-07-15</t>
  </si>
  <si>
    <t xml:space="preserve">2024-07-12</t>
  </si>
  <si>
    <t xml:space="preserve">WM-PO-JUL1</t>
  </si>
  <si>
    <t xml:space="preserve">12-pk Cola</t>
  </si>
  <si>
    <t xml:space="preserve">2024-07-22</t>
  </si>
  <si>
    <t xml:space="preserve">12-pk Diet Cola</t>
  </si>
  <si>
    <t xml:space="preserve">SO-70002</t>
  </si>
  <si>
    <t xml:space="preserve">2024-07-29</t>
  </si>
  <si>
    <t xml:space="preserve">2024-07-26</t>
  </si>
  <si>
    <t xml:space="preserve">WM-PO-JUL2</t>
  </si>
  <si>
    <t xml:space="preserve">2024-08-05</t>
  </si>
  <si>
    <t xml:space="preserve">SO-70003</t>
  </si>
  <si>
    <t xml:space="preserve">2024-08-12</t>
  </si>
  <si>
    <t xml:space="preserve">2024-08-09</t>
  </si>
  <si>
    <t xml:space="preserve">WM-PO-AUG1</t>
  </si>
  <si>
    <t xml:space="preserve">2024-08-19</t>
  </si>
  <si>
    <t xml:space="preserve">12-pk Zero Sugar</t>
  </si>
  <si>
    <t xml:space="preserve">SO-70004</t>
  </si>
  <si>
    <t xml:space="preserve">2024-08-26</t>
  </si>
  <si>
    <t xml:space="preserve">2024-08-23</t>
  </si>
  <si>
    <t xml:space="preserve">WM-PO-AUG2</t>
  </si>
  <si>
    <t xml:space="preserve">2024-09-02</t>
  </si>
  <si>
    <t xml:space="preserve">SO-70005</t>
  </si>
  <si>
    <t xml:space="preserve">2024-09-09</t>
  </si>
  <si>
    <t xml:space="preserve">2024-09-06</t>
  </si>
  <si>
    <t xml:space="preserve">WM-PO-SEP1</t>
  </si>
  <si>
    <t xml:space="preserve">2024-09-16</t>
  </si>
  <si>
    <t xml:space="preserve">SO-70006</t>
  </si>
  <si>
    <t xml:space="preserve">2024-09-23</t>
  </si>
  <si>
    <t xml:space="preserve">2024-09-20</t>
  </si>
  <si>
    <t xml:space="preserve">WM-PO-SEP2</t>
  </si>
  <si>
    <t xml:space="preserve">2024-09-30</t>
  </si>
  <si>
    <t xml:space="preserve">SO-70007</t>
  </si>
  <si>
    <t xml:space="preserve">2024-10-07</t>
  </si>
  <si>
    <t xml:space="preserve">2024-10-04</t>
  </si>
  <si>
    <t xml:space="preserve">WM-PO-OCT1</t>
  </si>
  <si>
    <t xml:space="preserve">2024-10-14</t>
  </si>
  <si>
    <t xml:space="preserve">SO-70008</t>
  </si>
  <si>
    <t xml:space="preserve">2024-10-21</t>
  </si>
  <si>
    <t xml:space="preserve">2024-10-18</t>
  </si>
  <si>
    <t xml:space="preserve">WM-PO-OCT2</t>
  </si>
  <si>
    <t xml:space="preserve">2024-10-28</t>
  </si>
  <si>
    <t xml:space="preserve">SO-70009</t>
  </si>
  <si>
    <t xml:space="preserve">2024-11-04</t>
  </si>
  <si>
    <t xml:space="preserve">WM-PO-NOV1</t>
  </si>
  <si>
    <t xml:space="preserve">2024-11-11</t>
  </si>
  <si>
    <t xml:space="preserve">SO-70010</t>
  </si>
  <si>
    <t xml:space="preserve">2024-11-18</t>
  </si>
  <si>
    <t xml:space="preserve">2024-11-15</t>
  </si>
  <si>
    <t xml:space="preserve">WM-PO-NOV2</t>
  </si>
  <si>
    <t xml:space="preserve">2024-11-25</t>
  </si>
  <si>
    <t xml:space="preserve">SO-70011</t>
  </si>
  <si>
    <t xml:space="preserve">2024-12-02</t>
  </si>
  <si>
    <t xml:space="preserve">2024-11-29</t>
  </si>
  <si>
    <t xml:space="preserve">WM-PO-DEC1</t>
  </si>
  <si>
    <t xml:space="preserve">2024-12-09</t>
  </si>
  <si>
    <t xml:space="preserve">SO-70012</t>
  </si>
  <si>
    <t xml:space="preserve">2024-12-16</t>
  </si>
  <si>
    <t xml:space="preserve">2024-12-13</t>
  </si>
  <si>
    <t xml:space="preserve">WM-PO-DEC2</t>
  </si>
  <si>
    <t xml:space="preserve">2024-12-23</t>
  </si>
  <si>
    <t xml:space="preserve">SO-70020</t>
  </si>
  <si>
    <t xml:space="preserve">2024-07-08</t>
  </si>
  <si>
    <t xml:space="preserve">2024-07-05</t>
  </si>
  <si>
    <t xml:space="preserve">KR-W-JUL1</t>
  </si>
  <si>
    <t xml:space="preserve">24-pk Water</t>
  </si>
  <si>
    <t xml:space="preserve">SO-70021</t>
  </si>
  <si>
    <t xml:space="preserve">2024-08-02</t>
  </si>
  <si>
    <t xml:space="preserve">KR-W-AUG1</t>
  </si>
  <si>
    <t xml:space="preserve">12-pk Sparkling</t>
  </si>
  <si>
    <t xml:space="preserve">SO-70022</t>
  </si>
  <si>
    <t xml:space="preserve">2024-08-30</t>
  </si>
  <si>
    <t xml:space="preserve">KR-W-SEP1</t>
  </si>
  <si>
    <t xml:space="preserve">SO-70023</t>
  </si>
  <si>
    <t xml:space="preserve">KR-W-OCT1</t>
  </si>
  <si>
    <t xml:space="preserve">SO-70024</t>
  </si>
  <si>
    <t xml:space="preserve">KR-W-NOV1</t>
  </si>
  <si>
    <t xml:space="preserve">SO-70025</t>
  </si>
  <si>
    <t xml:space="preserve">KR-W-DEC1</t>
  </si>
  <si>
    <t xml:space="preserve">SO-70040</t>
  </si>
  <si>
    <t xml:space="preserve">2024-07-10</t>
  </si>
  <si>
    <t xml:space="preserve">2024-07-07</t>
  </si>
  <si>
    <t xml:space="preserve">WAG-JUL</t>
  </si>
  <si>
    <t xml:space="preserve">2024-07-17</t>
  </si>
  <si>
    <t xml:space="preserve">SO-70041</t>
  </si>
  <si>
    <t xml:space="preserve">2024-08-07</t>
  </si>
  <si>
    <t xml:space="preserve">2024-08-04</t>
  </si>
  <si>
    <t xml:space="preserve">WAG-AUG</t>
  </si>
  <si>
    <t xml:space="preserve">2024-08-14</t>
  </si>
  <si>
    <t xml:space="preserve">SO-70042</t>
  </si>
  <si>
    <t xml:space="preserve">2024-09-04</t>
  </si>
  <si>
    <t xml:space="preserve">WAG-SEP</t>
  </si>
  <si>
    <t xml:space="preserve">2024-09-11</t>
  </si>
  <si>
    <t xml:space="preserve">SO-70043</t>
  </si>
  <si>
    <t xml:space="preserve">2024-10-02</t>
  </si>
  <si>
    <t xml:space="preserve">2024-09-29</t>
  </si>
  <si>
    <t xml:space="preserve">WAG-OCT</t>
  </si>
  <si>
    <t xml:space="preserve">2024-10-09</t>
  </si>
  <si>
    <t xml:space="preserve">SO-70044</t>
  </si>
  <si>
    <t xml:space="preserve">2024-11-06</t>
  </si>
  <si>
    <t xml:space="preserve">2024-11-03</t>
  </si>
  <si>
    <t xml:space="preserve">WAG-NOV</t>
  </si>
  <si>
    <t xml:space="preserve">2024-11-13</t>
  </si>
  <si>
    <t xml:space="preserve">SO-70045</t>
  </si>
  <si>
    <t xml:space="preserve">2024-12-04</t>
  </si>
  <si>
    <t xml:space="preserve">2024-12-01</t>
  </si>
  <si>
    <t xml:space="preserve">WAG-DEC</t>
  </si>
  <si>
    <t xml:space="preserve">2024-12-11</t>
  </si>
  <si>
    <t xml:space="preserve">SO-70030</t>
  </si>
  <si>
    <t xml:space="preserve">2024-07-19</t>
  </si>
  <si>
    <t xml:space="preserve">TGT-Q3</t>
  </si>
  <si>
    <t xml:space="preserve">SO-70031</t>
  </si>
  <si>
    <t xml:space="preserve">2024-09-13</t>
  </si>
  <si>
    <t xml:space="preserve">TGT-Q3B</t>
  </si>
  <si>
    <t xml:space="preserve">SO-70032</t>
  </si>
  <si>
    <t xml:space="preserve">2024-11-08</t>
  </si>
  <si>
    <t xml:space="preserve">TGT-Q4</t>
  </si>
  <si>
    <t xml:space="preserve">SO-70033</t>
  </si>
  <si>
    <t xml:space="preserve">2024-12-06</t>
  </si>
  <si>
    <t xml:space="preserve">TGT-Q4B</t>
  </si>
  <si>
    <t xml:space="preserve">SO-70050</t>
  </si>
  <si>
    <t xml:space="preserve">2024-08-01</t>
  </si>
  <si>
    <t xml:space="preserve">CC-Q3</t>
  </si>
  <si>
    <t xml:space="preserve">2024-08-08</t>
  </si>
  <si>
    <t xml:space="preserve">SO-70051</t>
  </si>
  <si>
    <t xml:space="preserve">2024-10-15</t>
  </si>
  <si>
    <t xml:space="preserve">2024-10-12</t>
  </si>
  <si>
    <t xml:space="preserve">CC-Q4</t>
  </si>
  <si>
    <t xml:space="preserve">2024-10-22</t>
  </si>
  <si>
    <t xml:space="preserve">SO-70052</t>
  </si>
  <si>
    <t xml:space="preserve">CC-Q4B</t>
  </si>
  <si>
    <t xml:space="preserve">SO-70060</t>
  </si>
  <si>
    <t xml:space="preserve">SAM-AUG</t>
  </si>
  <si>
    <t xml:space="preserve">SO-70061</t>
  </si>
  <si>
    <t xml:space="preserve">SAM-NOV</t>
  </si>
  <si>
    <t xml:space="preserve">SO-70070</t>
  </si>
  <si>
    <t xml:space="preserve">2024-08-16</t>
  </si>
  <si>
    <t xml:space="preserve">WFM-AUG</t>
  </si>
  <si>
    <t xml:space="preserve">SO-70071</t>
  </si>
  <si>
    <t xml:space="preserve">WFM-NOV</t>
  </si>
  <si>
    <t xml:space="preserve">SO-70072</t>
  </si>
  <si>
    <t xml:space="preserve">WFM-DEC</t>
  </si>
  <si>
    <t xml:space="preserve">SO-70080</t>
  </si>
  <si>
    <t xml:space="preserve">CVS-SEP</t>
  </si>
  <si>
    <t xml:space="preserve">Energy Drink 4pk</t>
  </si>
  <si>
    <t xml:space="preserve">SO-70081</t>
  </si>
  <si>
    <t xml:space="preserve">CVS-NOV</t>
  </si>
  <si>
    <t xml:space="preserve">Energy Drink 8pk</t>
  </si>
  <si>
    <t xml:space="preserve">Order Anomaly Baselines — Derived from Past Orders · Pre-computed for ASOE EC-15 Anomaly Detection</t>
  </si>
  <si>
    <t xml:space="preserve">CUST_NAME
Customer Name</t>
  </si>
  <si>
    <t xml:space="preserve">MAKTX
Material Desc</t>
  </si>
  <si>
    <t xml:space="preserve">ORDER_COUNT
# Orders (6mo)</t>
  </si>
  <si>
    <t xml:space="preserve">AVG_QTY
Avg Qty (CS)</t>
  </si>
  <si>
    <t xml:space="preserve">STDEV_QTY
StdDev Qty</t>
  </si>
  <si>
    <t xml:space="preserve">MIN_QTY
Min Qty</t>
  </si>
  <si>
    <t xml:space="preserve">MAX_QTY
Max Qty</t>
  </si>
  <si>
    <t xml:space="preserve">AVG_VALUE
Avg Order Value</t>
  </si>
  <si>
    <t xml:space="preserve">WARN_THRESH
+40% Warn</t>
  </si>
  <si>
    <t xml:space="preserve">HARD_THRESH
+200% Hard Flag</t>
  </si>
  <si>
    <t xml:space="preserve">Target Corp.</t>
  </si>
  <si>
    <t xml:space="preserve">CVS Health</t>
  </si>
  <si>
    <t xml:space="preserve">Sam's Club</t>
  </si>
  <si>
    <t xml:space="preserve">Whole Foods</t>
  </si>
  <si>
    <t xml:space="preserve">Master Data Validation Flags — ASOE Test Records (Known Missing / Invalid Entries for Edge Case Testing)</t>
  </si>
  <si>
    <t xml:space="preserve">RECORD_TYPE
Type</t>
  </si>
  <si>
    <t xml:space="preserve">LOOKUP_KEY
Lookup Value</t>
  </si>
  <si>
    <t xml:space="preserve">EXPECTED_RESULT
Expected Outcome</t>
  </si>
  <si>
    <t xml:space="preserve">EDGE_CASE
EC Reference</t>
  </si>
  <si>
    <t xml:space="preserve">SEVERITY
Severity</t>
  </si>
  <si>
    <t xml:space="preserve">CUSTOMER
Affected Customer</t>
  </si>
  <si>
    <t xml:space="preserve">DESCRIPTION
Description</t>
  </si>
  <si>
    <t xml:space="preserve">RESOLUTION</t>
  </si>
  <si>
    <t xml:space="preserve">SHIP_TO</t>
  </si>
  <si>
    <t xml:space="preserve">SC-TX-441</t>
  </si>
  <si>
    <t xml:space="preserve">NOT_FOUND</t>
  </si>
  <si>
    <t xml:space="preserve">EC-13</t>
  </si>
  <si>
    <t xml:space="preserve">CRITICAL</t>
  </si>
  <si>
    <t xml:space="preserve">C0010 (Sam's Club)</t>
  </si>
  <si>
    <t xml:space="preserve">Ship-to code SC-TX-441 does not exist in ship-to master</t>
  </si>
  <si>
    <t xml:space="preserve">Create record or correct PO ship-to code</t>
  </si>
  <si>
    <t xml:space="preserve">MATERIAL</t>
  </si>
  <si>
    <t xml:space="preserve">SKU-9910</t>
  </si>
  <si>
    <t xml:space="preserve">Material SKU-9910 (Variety Pack x8) not in material master</t>
  </si>
  <si>
    <t xml:space="preserve">Create material master record MM01 or reject line</t>
  </si>
  <si>
    <t xml:space="preserve">PRICE</t>
  </si>
  <si>
    <t xml:space="preserve">C0001/SKU-0042</t>
  </si>
  <si>
    <t xml:space="preserve">EXPIRED_PROMO</t>
  </si>
  <si>
    <t xml:space="preserve">EC-PROMO</t>
  </si>
  <si>
    <t xml:space="preserve">HIGH</t>
  </si>
  <si>
    <t xml:space="preserve">C0001 (Walmart)</t>
  </si>
  <si>
    <t xml:space="preserve">ZPROM condition CN-1001 expired 2024-12-31 — customer PO still uses promo price</t>
  </si>
  <si>
    <t xml:space="preserve">Load new promo VK11 or adjust customer expectation</t>
  </si>
  <si>
    <t xml:space="preserve">C0002/SKU-1181</t>
  </si>
  <si>
    <t xml:space="preserve">CONTRACT_GAP</t>
  </si>
  <si>
    <t xml:space="preserve">EC-CONTRACT</t>
  </si>
  <si>
    <t xml:space="preserve">C0002 (Kroger)</t>
  </si>
  <si>
    <t xml:space="preserve">ZK04 contract CN-1004 expired 2024-12-15 — no active contract for this line</t>
  </si>
  <si>
    <t xml:space="preserve">Renew contract ME32 or apply standard PR00 price</t>
  </si>
  <si>
    <t xml:space="preserve">C0012/SKU-3310</t>
  </si>
  <si>
    <t xml:space="preserve">EC-02</t>
  </si>
  <si>
    <t xml:space="preserve">MEDIUM</t>
  </si>
  <si>
    <t xml:space="preserve">C0012 (Whole Foods)</t>
  </si>
  <si>
    <t xml:space="preserve">ZPROM CN-1003 expired 2024-12-31 — WFM still expects $22.00 promo price</t>
  </si>
  <si>
    <t xml:space="preserve">Customer must be informed promo expired; new agreement needed</t>
  </si>
  <si>
    <t xml:space="preserve">CURRENCY</t>
  </si>
  <si>
    <t xml:space="preserve">AMBIGUOUS</t>
  </si>
  <si>
    <t xml:space="preserve">EC-11</t>
  </si>
  <si>
    <t xml:space="preserve">C0008 (HEB)</t>
  </si>
  <si>
    <t xml:space="preserve">HEB has USD as default but orders for MX stores reference MXN — no FX config</t>
  </si>
  <si>
    <t xml:space="preserve">Configure multi-currency on customer master XD02</t>
  </si>
  <si>
    <t xml:space="preserve">QUANTITY</t>
  </si>
  <si>
    <t xml:space="preserve">C0009/SKU-1180</t>
  </si>
  <si>
    <t xml:space="preserve">ANOMALY_HIGH</t>
  </si>
  <si>
    <t xml:space="preserve">EC-15</t>
  </si>
  <si>
    <t xml:space="preserve">C0009 (Walgreens)</t>
  </si>
  <si>
    <t xml:space="preserve">Incoming qty 10,000 CS vs baseline avg 850 CS — deviation +1,076%</t>
  </si>
  <si>
    <t xml:space="preserve">Route to manager approval; confirm emergency restock justification</t>
  </si>
  <si>
    <t xml:space="preserve">DATE</t>
  </si>
  <si>
    <t xml:space="preserve">WFM-PO88434</t>
  </si>
  <si>
    <t xml:space="preserve">AMBIGUOUS_DATE</t>
  </si>
  <si>
    <t xml:space="preserve">EC-03</t>
  </si>
  <si>
    <t xml:space="preserve">LOW</t>
  </si>
  <si>
    <t xml:space="preserve">Date '2/3/25' ambiguous (Feb 3 vs Mar 2) — US locale assumed Feb 3</t>
  </si>
  <si>
    <t xml:space="preserve">Confirm with customer; standardize date format in EDI config</t>
  </si>
  <si>
    <t xml:space="preserve">INTENT</t>
  </si>
  <si>
    <t xml:space="preserve">newsletter@pricecomparison.io</t>
  </si>
  <si>
    <t xml:space="preserve">BELOW_THRESHOLD</t>
  </si>
  <si>
    <t xml:space="preserve">EC-09b</t>
  </si>
  <si>
    <t xml:space="preserve">INFO</t>
  </si>
  <si>
    <t xml:space="preserve">N/A</t>
  </si>
  <si>
    <t xml:space="preserve">Non-customer sender; intent 8% confidence — routed to Unclassified queue</t>
  </si>
  <si>
    <t xml:space="preserve">Add to blocked sender list or ignore</t>
  </si>
  <si>
    <t xml:space="preserve">C0005/DC #29</t>
  </si>
  <si>
    <t xml:space="preserve">FUZZY_MATCH</t>
  </si>
  <si>
    <t xml:space="preserve">EC-05</t>
  </si>
  <si>
    <t xml:space="preserve">C0005 (Albertsons)</t>
  </si>
  <si>
    <t xml:space="preserve">OCR reads 'DC #29' but could be '#79' — fuzzy match returns two candidates</t>
  </si>
  <si>
    <t xml:space="preserve">User confirms correct DC number; improve scan quality</t>
  </si>
  <si>
    <t xml:space="preserve">NEW_ACCT</t>
  </si>
  <si>
    <t xml:space="preserve">NO_HISTORY</t>
  </si>
  <si>
    <t xml:space="preserve">EC-14</t>
  </si>
  <si>
    <t xml:space="preserve">C0013 (Fresh Market)</t>
  </si>
  <si>
    <t xml:space="preserve">New account created 2025-01-08 — no order history for anomaly detection</t>
  </si>
  <si>
    <t xml:space="preserve">Anomaly detection skipped for first 3 orders; monitor manually</t>
  </si>
  <si>
    <t xml:space="preserve">PO_DUP</t>
  </si>
  <si>
    <t xml:space="preserve">PO-88424</t>
  </si>
  <si>
    <t xml:space="preserve">DUPLICATE</t>
  </si>
  <si>
    <t xml:space="preserve">EC-04</t>
  </si>
  <si>
    <t xml:space="preserve">C0004 (Costco)</t>
  </si>
  <si>
    <t xml:space="preserve">PO-88424 received twice — second email explicitly marked as possible resend</t>
  </si>
  <si>
    <t xml:space="preserve">Show diff; prompt user: Update/Ignore/Create New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</si>
</sst>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5F"/>
      <name val="Arial"/>
      <family val="0"/>
      <charset val="1"/>
    </font>
    <font>
      <sz val="10"/>
      <color rgb="FF717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i val="true"/>
      <sz val="9"/>
      <color rgb="FF2E6DA4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i val="true"/>
      <sz val="9"/>
      <color rgb="FF7D6608"/>
      <name val="Arial"/>
      <family val="0"/>
      <charset val="1"/>
    </font>
    <font>
      <b val="true"/>
      <sz val="9"/>
      <color rgb="FF922B21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A0522D"/>
      <name val="Arial"/>
      <family val="0"/>
      <charset val="1"/>
    </font>
    <font>
      <b val="true"/>
      <sz val="9"/>
      <color rgb="FF1A527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2C3E50"/>
      </patternFill>
    </fill>
    <fill>
      <patternFill patternType="solid">
        <fgColor rgb="FFD6E4F0"/>
        <bgColor rgb="FFEAF4FF"/>
      </patternFill>
    </fill>
    <fill>
      <patternFill patternType="solid">
        <fgColor rgb="FFEBF5FB"/>
        <bgColor rgb="FFEAF4FF"/>
      </patternFill>
    </fill>
    <fill>
      <patternFill patternType="solid">
        <fgColor rgb="FF2E6DA4"/>
        <bgColor rgb="FF1A5276"/>
      </patternFill>
    </fill>
    <fill>
      <patternFill patternType="solid">
        <fgColor rgb="FFFFFFFF"/>
        <bgColor rgb="FFFEF9E7"/>
      </patternFill>
    </fill>
    <fill>
      <patternFill patternType="solid">
        <fgColor rgb="FFEAFAF1"/>
        <bgColor rgb="FFEBF5FB"/>
      </patternFill>
    </fill>
    <fill>
      <patternFill patternType="solid">
        <fgColor rgb="FFFEF9E7"/>
        <bgColor rgb="FFFFFFFF"/>
      </patternFill>
    </fill>
    <fill>
      <patternFill patternType="solid">
        <fgColor rgb="FFFDEDEC"/>
        <bgColor rgb="FFFEF9E7"/>
      </patternFill>
    </fill>
    <fill>
      <patternFill patternType="solid">
        <fgColor rgb="FFFFF3CD"/>
        <bgColor rgb="FFFEF9E7"/>
      </patternFill>
    </fill>
    <fill>
      <patternFill patternType="solid">
        <fgColor rgb="FFEAF4FF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E6DA4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AFAF1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922B21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856404"/>
          <bgColor rgb="FF000000"/>
        </patternFill>
      </fill>
    </dxf>
    <dxf>
      <fill>
        <patternFill patternType="solid">
          <fgColor rgb="FFEAF4FF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A0522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AEB6BF"/>
      <rgbColor rgb="FF717D7E"/>
      <rgbColor rgb="FF9999FF"/>
      <rgbColor rgb="FF6C3483"/>
      <rgbColor rgb="FFFFF3CD"/>
      <rgbColor rgb="FFEAFAF1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F"/>
      <rgbColor rgb="FFEBF5FB"/>
      <rgbColor rgb="FFFEF9E7"/>
      <rgbColor rgb="FF99CCFF"/>
      <rgbColor rgb="FFFF99CC"/>
      <rgbColor rgb="FFCC99FF"/>
      <rgbColor rgb="FFFDEDEC"/>
      <rgbColor rgb="FF3366FF"/>
      <rgbColor rgb="FF33CCCC"/>
      <rgbColor rgb="FF99CC00"/>
      <rgbColor rgb="FFFFCC00"/>
      <rgbColor rgb="FFFF9900"/>
      <rgbColor rgb="FFFF6600"/>
      <rgbColor rgb="FF856404"/>
      <rgbColor rgb="FF969696"/>
      <rgbColor rgb="FF1E3A5F"/>
      <rgbColor rgb="FF1E8449"/>
      <rgbColor rgb="FF003300"/>
      <rgbColor rgb="FF333300"/>
      <rgbColor rgb="FF922B21"/>
      <rgbColor rgb="FFA0522D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nomalyBaselines" displayName="AnomalyBaselines" ref="A2:L17" headerRowCount="1" totalsRowCount="0" totalsRowShown="0">
  <autoFilter ref="A2:L17"/>
  <tableColumns count="12">
    <tableColumn id="1" name="KUNNR&#10;Customer"/>
    <tableColumn id="2" name="MATNR&#10;Material"/>
    <tableColumn id="3" name="CUST_NAME&#10;Customer Name"/>
    <tableColumn id="4" name="MAKTX&#10;Material Desc"/>
    <tableColumn id="5" name="ORDER_COUNT&#10;# Orders (6mo)"/>
    <tableColumn id="6" name="AVG_QTY&#10;Avg Qty (CS)"/>
    <tableColumn id="7" name="STDEV_QTY&#10;StdDev Qty"/>
    <tableColumn id="8" name="MIN_QTY&#10;Min Qty"/>
    <tableColumn id="9" name="MAX_QTY&#10;Max Qty"/>
    <tableColumn id="10" name="AVG_VALUE&#10;Avg Order Value"/>
    <tableColumn id="11" name="WARN_THRESH&#10;+40% Warn"/>
    <tableColumn id="12" name="HARD_THRESH&#10;+200% Hard Flag"/>
  </tableColumns>
</table>
</file>

<file path=xl/tables/table2.xml><?xml version="1.0" encoding="utf-8"?>
<table xmlns="http://schemas.openxmlformats.org/spreadsheetml/2006/main" id="2" name="CustMaterialInfo" displayName="CustMaterialInfo" ref="A2:G16" headerRowCount="1" totalsRowCount="0" totalsRowShown="0">
  <autoFilter ref="A2:G16"/>
  <tableColumns count="7">
    <tableColumn id="1" name="KUNNR&#10;Customer No."/>
    <tableColumn id="2" name="MATNR&#10;Our SKU"/>
    <tableColumn id="3" name="KDMAT&#10;Cust. Item No."/>
    <tableColumn id="4" name="MAKTX_CUST&#10;Cust. Description"/>
    <tableColumn id="5" name="VRKME&#10;Cust. UOM"/>
    <tableColumn id="6" name="AKTNR&#10;Cust. PO Ref."/>
    <tableColumn id="7" name="NOTES"/>
  </tableColumns>
</table>
</file>

<file path=xl/tables/table3.xml><?xml version="1.0" encoding="utf-8"?>
<table xmlns="http://schemas.openxmlformats.org/spreadsheetml/2006/main" id="3" name="CustomerMaster" displayName="CustomerMaster" ref="A2:R15" headerRowCount="1" totalsRowCount="0" totalsRowShown="0">
  <autoFilter ref="A2:R15"/>
  <tableColumns count="18">
    <tableColumn id="1" name="KUNNR&#10;Customer No."/>
    <tableColumn id="2" name="NAME1&#10;Customer Name"/>
    <tableColumn id="3" name="KTOKD&#10;Account Group"/>
    <tableColumn id="4" name="VKORG&#10;Sales Org"/>
    <tableColumn id="5" name="VTWEG&#10;Distr Channel"/>
    <tableColumn id="6" name="SPART&#10;Division"/>
    <tableColumn id="7" name="VKBUR&#10;Sales Office"/>
    <tableColumn id="8" name="KALKS&#10;Pricing Proc."/>
    <tableColumn id="9" name="WAERS&#10;Currency"/>
    <tableColumn id="10" name="ZTERM&#10;Payment Terms"/>
    <tableColumn id="11" name="KDGRP&#10;Cust Group"/>
    <tableColumn id="12" name="LOEVM&#10;Deletion Flag"/>
    <tableColumn id="13" name="AKONT&#10;Recon Account"/>
    <tableColumn id="14" name="REPRF&#10;Credit Check"/>
    <tableColumn id="15" name="KRELI&#10;Credit Limit"/>
    <tableColumn id="16" name="ERDAT&#10;Created Date"/>
    <tableColumn id="17" name="ERNAM&#10;Created By"/>
    <tableColumn id="18" name="STATUS&#10;ASO Status"/>
  </tableColumns>
</table>
</file>

<file path=xl/tables/table4.xml><?xml version="1.0" encoding="utf-8"?>
<table xmlns="http://schemas.openxmlformats.org/spreadsheetml/2006/main" id="4" name="MasterDataFlags" displayName="MasterDataFlags" ref="A2:H14" headerRowCount="1" totalsRowCount="0" totalsRowShown="0">
  <autoFilter ref="A2:H14"/>
  <tableColumns count="8">
    <tableColumn id="1" name="RECORD_TYPE&#10;Type"/>
    <tableColumn id="2" name="LOOKUP_KEY&#10;Lookup Value"/>
    <tableColumn id="3" name="EXPECTED_RESULT&#10;Expected Outcome"/>
    <tableColumn id="4" name="EDGE_CASE&#10;EC Reference"/>
    <tableColumn id="5" name="SEVERITY&#10;Severity"/>
    <tableColumn id="6" name="CUSTOMER&#10;Affected Customer"/>
    <tableColumn id="7" name="DESCRIPTION&#10;Description"/>
    <tableColumn id="8" name="RESOLUTION"/>
  </tableColumns>
</table>
</file>

<file path=xl/tables/table5.xml><?xml version="1.0" encoding="utf-8"?>
<table xmlns="http://schemas.openxmlformats.org/spreadsheetml/2006/main" id="5" name="MaterialMaster" displayName="MaterialMaster" ref="A2:P16" headerRowCount="1" totalsRowCount="0" totalsRowShown="0">
  <autoFilter ref="A2:P16"/>
  <tableColumns count="16">
    <tableColumn id="1" name="MATNR&#10;Material No."/>
    <tableColumn id="2" name="MAKTX&#10;Description"/>
    <tableColumn id="3" name="MATKL&#10;Mat. Group"/>
    <tableColumn id="4" name="MEINS&#10;Base UOM"/>
    <tableColumn id="5" name="VRKME&#10;Sales UOM"/>
    <tableColumn id="6" name="UMREZ&#10;Num (UOM Conv.)"/>
    <tableColumn id="7" name="UMREN&#10;Den (UOM Conv.)"/>
    <tableColumn id="8" name="BRGEW&#10;Gross Wt (kg)"/>
    <tableColumn id="9" name="NTGEW&#10;Net Wt (kg)"/>
    <tableColumn id="10" name="GEWEI&#10;Wt Unit"/>
    <tableColumn id="11" name="EAN11&#10;EAN/UPC"/>
    <tableColumn id="12" name="BISMT&#10;Old Mat. No."/>
    <tableColumn id="13" name="MTPOS_MARA&#10;Item Cat."/>
    <tableColumn id="14" name="LABOR&#10;Lab / Office"/>
    <tableColumn id="15" name="ERSDA&#10;Created Date"/>
    <tableColumn id="16" name="STATUS&#10;MM Status"/>
  </tableColumns>
</table>
</file>

<file path=xl/tables/table6.xml><?xml version="1.0" encoding="utf-8"?>
<table xmlns="http://schemas.openxmlformats.org/spreadsheetml/2006/main" id="6" name="PastOrders" displayName="PastOrders" ref="A2:N46" headerRowCount="1" totalsRowCount="0" totalsRowShown="0">
  <autoFilter ref="A2:N46"/>
  <tableColumns count="14">
    <tableColumn id="1" name="VBELN&#10;Order No."/>
    <tableColumn id="2" name="KUNNR&#10;Customer"/>
    <tableColumn id="3" name="AUDAT&#10;Order Date"/>
    <tableColumn id="4" name="BSTDK&#10;PO Date"/>
    <tableColumn id="5" name="BSTNK&#10;Cust. PO No."/>
    <tableColumn id="6" name="MATNR&#10;Material"/>
    <tableColumn id="7" name="MAKTX&#10;Description"/>
    <tableColumn id="8" name="KWMENG&#10;Qty (CS)"/>
    <tableColumn id="9" name="NETPR&#10;Net Price"/>
    <tableColumn id="10" name="WAERK&#10;Currency"/>
    <tableColumn id="11" name="NETWR&#10;Net Value"/>
    <tableColumn id="12" name="LFDAT&#10;Del. Date"/>
    <tableColumn id="13" name="WBSTK&#10;GI Status"/>
    <tableColumn id="14" name="FKSTK&#10;Bill Status"/>
  </tableColumns>
</table>
</file>

<file path=xl/tables/table7.xml><?xml version="1.0" encoding="utf-8"?>
<table xmlns="http://schemas.openxmlformats.org/spreadsheetml/2006/main" id="7" name="PaymentTerms" displayName="PaymentTerms" ref="A2:F8" headerRowCount="1" totalsRowCount="0" totalsRowShown="0">
  <autoFilter ref="A2:F8"/>
  <tableColumns count="6">
    <tableColumn id="1" name="ZTERM&#10;Term Code"/>
    <tableColumn id="2" name="TEXT1&#10;Description"/>
    <tableColumn id="3" name="ZBD1T&#10;Days 1"/>
    <tableColumn id="4" name="ZBD1P&#10;Discount %"/>
    <tableColumn id="5" name="ZBD2T&#10;Net Days"/>
    <tableColumn id="6" name="KUNNR&#10;Allowed For"/>
  </tableColumns>
</table>
</file>

<file path=xl/tables/table8.xml><?xml version="1.0" encoding="utf-8"?>
<table xmlns="http://schemas.openxmlformats.org/spreadsheetml/2006/main" id="8" name="PricingConditions" displayName="PricingConditions" ref="A2:L30" headerRowCount="1" totalsRowCount="0" totalsRowShown="0">
  <autoFilter ref="A2:L30"/>
  <tableColumns count="12">
    <tableColumn id="1" name="KNUMH&#10;Cond. No."/>
    <tableColumn id="2" name="KAPPL&#10;App."/>
    <tableColumn id="3" name="KSCHL&#10;Cond. Type"/>
    <tableColumn id="4" name="KUNNR&#10;Customer"/>
    <tableColumn id="5" name="MATNR&#10;Material"/>
    <tableColumn id="6" name="KBETR&#10;Price (per KMEIN)"/>
    <tableColumn id="7" name="KMEIN&#10;Cond. UOM"/>
    <tableColumn id="8" name="WAERS&#10;Currency"/>
    <tableColumn id="9" name="DATAB&#10;Valid From"/>
    <tableColumn id="10" name="DATBI&#10;Valid To"/>
    <tableColumn id="11" name="KONWA&#10;Scale Basis"/>
    <tableColumn id="12" name="STATUS"/>
  </tableColumns>
</table>
</file>

<file path=xl/tables/table9.xml><?xml version="1.0" encoding="utf-8"?>
<table xmlns="http://schemas.openxmlformats.org/spreadsheetml/2006/main" id="9" name="ShipToMaster" displayName="ShipToMaster" ref="A2:L21" headerRowCount="1" totalsRowCount="0" totalsRowShown="0">
  <autoFilter ref="A2:L21"/>
  <tableColumns count="12">
    <tableColumn id="1" name="SHIPTO_ID&#10;Ship-To Code"/>
    <tableColumn id="2" name="KUNNR&#10;Sold-To No."/>
    <tableColumn id="3" name="NAME1&#10;DC / Ship-To Name"/>
    <tableColumn id="4" name="STRAS&#10;Street Address"/>
    <tableColumn id="5" name="ORT01&#10;City"/>
    <tableColumn id="6" name="REGIO&#10;State"/>
    <tableColumn id="7" name="PSTLZ&#10;Zip Code"/>
    <tableColumn id="8" name="LAND1&#10;Country"/>
    <tableColumn id="9" name="KNREF&#10;DC Reference"/>
    <tableColumn id="10" name="LGPLA&#10;Warehouse Code"/>
    <tableColumn id="11" name="VKORG&#10;Sales Org"/>
    <tableColumn id="12" name="STATUS&#10;Status"/>
  </tableColumns>
</table>
</file>

<file path=xl/tables/table10.xml><?xml version="1.0" encoding="utf-8"?>
<table xmlns="http://schemas.openxmlformats.org/spreadsheetml/2006/main" id="10" name="UOMConversions" displayName="UOMConversions" ref="A2:H21" headerRowCount="1" totalsRowCount="0" totalsRowShown="0">
  <autoFilter ref="A2:H21"/>
  <tableColumns count="8">
    <tableColumn id="1" name="MATNR&#10;Material"/>
    <tableColumn id="2" name="MEINH&#10;From UOM"/>
    <tableColumn id="3" name="MEINS&#10;To UOM"/>
    <tableColumn id="4" name="UMREZ&#10;Numerator"/>
    <tableColumn id="5" name="UMREN&#10;Denominator"/>
    <tableColumn id="6" name="RATIO&#10;(From per To)"/>
    <tableColumn id="7" name="EAN11&#10;GTIN (if leaf)"/>
    <tableColumn id="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B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36" hidden="false" customHeight="true" outlineLevel="0" collapsed="false">
      <c r="B1" s="1" t="s">
        <v>0</v>
      </c>
      <c r="C1" s="1"/>
      <c r="D1" s="1"/>
      <c r="E1" s="1"/>
    </row>
    <row r="2" customFormat="false" ht="18" hidden="false" customHeight="true" outlineLevel="0" collapsed="false">
      <c r="B2" s="2" t="s">
        <v>1</v>
      </c>
      <c r="C2" s="2"/>
      <c r="D2" s="2"/>
      <c r="E2" s="2"/>
    </row>
    <row r="3" customFormat="false" ht="9.75" hidden="false" customHeight="true" outlineLevel="0" collapsed="false"/>
    <row r="4" customFormat="false" ht="18" hidden="false" customHeight="true" outlineLevel="0" collapsed="false">
      <c r="B4" s="3" t="s">
        <v>2</v>
      </c>
      <c r="C4" s="3" t="s">
        <v>3</v>
      </c>
      <c r="D4" s="3" t="s">
        <v>4</v>
      </c>
    </row>
    <row r="5" customFormat="false" ht="24" hidden="false" customHeight="true" outlineLevel="0" collapsed="false">
      <c r="B5" s="4" t="s">
        <v>5</v>
      </c>
      <c r="C5" s="5" t="s">
        <v>6</v>
      </c>
      <c r="D5" s="6" t="s">
        <v>7</v>
      </c>
    </row>
    <row r="6" customFormat="false" ht="24" hidden="false" customHeight="true" outlineLevel="0" collapsed="false">
      <c r="B6" s="7" t="s">
        <v>8</v>
      </c>
      <c r="C6" s="8" t="s">
        <v>9</v>
      </c>
      <c r="D6" s="9" t="s">
        <v>10</v>
      </c>
    </row>
    <row r="7" customFormat="false" ht="24" hidden="false" customHeight="true" outlineLevel="0" collapsed="false">
      <c r="B7" s="4" t="s">
        <v>11</v>
      </c>
      <c r="C7" s="5" t="s">
        <v>12</v>
      </c>
      <c r="D7" s="6" t="s">
        <v>13</v>
      </c>
    </row>
    <row r="8" customFormat="false" ht="24" hidden="false" customHeight="true" outlineLevel="0" collapsed="false">
      <c r="B8" s="7" t="s">
        <v>14</v>
      </c>
      <c r="C8" s="8" t="s">
        <v>15</v>
      </c>
      <c r="D8" s="9" t="s">
        <v>16</v>
      </c>
    </row>
    <row r="9" customFormat="false" ht="24" hidden="false" customHeight="true" outlineLevel="0" collapsed="false">
      <c r="B9" s="4" t="s">
        <v>17</v>
      </c>
      <c r="C9" s="5" t="s">
        <v>18</v>
      </c>
      <c r="D9" s="6" t="s">
        <v>19</v>
      </c>
    </row>
    <row r="10" customFormat="false" ht="24" hidden="false" customHeight="true" outlineLevel="0" collapsed="false">
      <c r="B10" s="7" t="s">
        <v>20</v>
      </c>
      <c r="C10" s="8" t="s">
        <v>21</v>
      </c>
      <c r="D10" s="9" t="s">
        <v>22</v>
      </c>
    </row>
    <row r="11" customFormat="false" ht="24" hidden="false" customHeight="true" outlineLevel="0" collapsed="false">
      <c r="B11" s="4" t="s">
        <v>23</v>
      </c>
      <c r="C11" s="5" t="s">
        <v>24</v>
      </c>
      <c r="D11" s="6" t="s">
        <v>25</v>
      </c>
    </row>
    <row r="12" customFormat="false" ht="24" hidden="false" customHeight="true" outlineLevel="0" collapsed="false">
      <c r="B12" s="7" t="s">
        <v>26</v>
      </c>
      <c r="C12" s="8" t="s">
        <v>27</v>
      </c>
      <c r="D12" s="9" t="s">
        <v>28</v>
      </c>
    </row>
    <row r="13" customFormat="false" ht="24" hidden="false" customHeight="true" outlineLevel="0" collapsed="false">
      <c r="B13" s="4" t="s">
        <v>29</v>
      </c>
      <c r="C13" s="5" t="s">
        <v>30</v>
      </c>
      <c r="D13" s="6" t="s">
        <v>31</v>
      </c>
    </row>
    <row r="14" customFormat="false" ht="24" hidden="false" customHeight="true" outlineLevel="0" collapsed="false">
      <c r="B14" s="7" t="s">
        <v>32</v>
      </c>
      <c r="C14" s="8" t="s">
        <v>33</v>
      </c>
      <c r="D14" s="9" t="s">
        <v>34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R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2" min="11" style="0" width="8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7" min="16" style="0" width="12"/>
    <col collapsed="false" customWidth="true" hidden="false" outlineLevel="0" max="18" min="18" style="0" width="10"/>
  </cols>
  <sheetData>
    <row r="1" customFormat="false" ht="27.75" hidden="false" customHeight="true" outlineLevel="0" collapsed="false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customFormat="false" ht="36" hidden="false" customHeight="true" outlineLevel="0" collapsed="false">
      <c r="A2" s="11" t="s">
        <v>36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  <c r="I2" s="11" t="s">
        <v>44</v>
      </c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1" t="s">
        <v>50</v>
      </c>
      <c r="P2" s="11" t="s">
        <v>51</v>
      </c>
      <c r="Q2" s="11" t="s">
        <v>52</v>
      </c>
      <c r="R2" s="11" t="s">
        <v>53</v>
      </c>
    </row>
    <row r="3" customFormat="false" ht="15" hidden="false" customHeight="false" outlineLevel="0" collapsed="false">
      <c r="A3" s="12" t="s">
        <v>54</v>
      </c>
      <c r="B3" s="12" t="s">
        <v>55</v>
      </c>
      <c r="C3" s="12" t="s">
        <v>56</v>
      </c>
      <c r="D3" s="12" t="s">
        <v>57</v>
      </c>
      <c r="E3" s="12" t="s">
        <v>58</v>
      </c>
      <c r="F3" s="12" t="s">
        <v>59</v>
      </c>
      <c r="G3" s="12" t="s">
        <v>60</v>
      </c>
      <c r="H3" s="12" t="s">
        <v>61</v>
      </c>
      <c r="I3" s="12" t="s">
        <v>62</v>
      </c>
      <c r="J3" s="12" t="s">
        <v>63</v>
      </c>
      <c r="K3" s="12" t="s">
        <v>64</v>
      </c>
      <c r="L3" s="12"/>
      <c r="M3" s="12" t="s">
        <v>65</v>
      </c>
      <c r="N3" s="12" t="s">
        <v>66</v>
      </c>
      <c r="O3" s="12" t="s">
        <v>67</v>
      </c>
      <c r="P3" s="12" t="s">
        <v>68</v>
      </c>
      <c r="Q3" s="12" t="s">
        <v>69</v>
      </c>
      <c r="R3" s="13" t="s">
        <v>70</v>
      </c>
    </row>
    <row r="4" customFormat="false" ht="15" hidden="false" customHeight="false" outlineLevel="0" collapsed="false">
      <c r="A4" s="14" t="s">
        <v>71</v>
      </c>
      <c r="B4" s="14" t="s">
        <v>72</v>
      </c>
      <c r="C4" s="14" t="s">
        <v>56</v>
      </c>
      <c r="D4" s="14" t="s">
        <v>57</v>
      </c>
      <c r="E4" s="14" t="s">
        <v>58</v>
      </c>
      <c r="F4" s="14" t="s">
        <v>59</v>
      </c>
      <c r="G4" s="14" t="s">
        <v>73</v>
      </c>
      <c r="H4" s="14" t="s">
        <v>61</v>
      </c>
      <c r="I4" s="14" t="s">
        <v>62</v>
      </c>
      <c r="J4" s="14" t="s">
        <v>74</v>
      </c>
      <c r="K4" s="14" t="s">
        <v>64</v>
      </c>
      <c r="L4" s="14"/>
      <c r="M4" s="14" t="s">
        <v>65</v>
      </c>
      <c r="N4" s="14" t="s">
        <v>66</v>
      </c>
      <c r="O4" s="14" t="s">
        <v>75</v>
      </c>
      <c r="P4" s="14" t="s">
        <v>76</v>
      </c>
      <c r="Q4" s="14" t="s">
        <v>69</v>
      </c>
      <c r="R4" s="13" t="s">
        <v>70</v>
      </c>
    </row>
    <row r="5" customFormat="false" ht="15" hidden="false" customHeight="false" outlineLevel="0" collapsed="false">
      <c r="A5" s="12" t="s">
        <v>77</v>
      </c>
      <c r="B5" s="12" t="s">
        <v>78</v>
      </c>
      <c r="C5" s="12" t="s">
        <v>56</v>
      </c>
      <c r="D5" s="12" t="s">
        <v>57</v>
      </c>
      <c r="E5" s="12" t="s">
        <v>58</v>
      </c>
      <c r="F5" s="12" t="s">
        <v>59</v>
      </c>
      <c r="G5" s="12" t="s">
        <v>79</v>
      </c>
      <c r="H5" s="12" t="s">
        <v>61</v>
      </c>
      <c r="I5" s="12" t="s">
        <v>62</v>
      </c>
      <c r="J5" s="12" t="s">
        <v>63</v>
      </c>
      <c r="K5" s="12" t="s">
        <v>64</v>
      </c>
      <c r="L5" s="12"/>
      <c r="M5" s="12" t="s">
        <v>65</v>
      </c>
      <c r="N5" s="12" t="s">
        <v>66</v>
      </c>
      <c r="O5" s="12" t="s">
        <v>80</v>
      </c>
      <c r="P5" s="12" t="s">
        <v>81</v>
      </c>
      <c r="Q5" s="12" t="s">
        <v>69</v>
      </c>
      <c r="R5" s="13" t="s">
        <v>70</v>
      </c>
    </row>
    <row r="6" customFormat="false" ht="15" hidden="false" customHeight="false" outlineLevel="0" collapsed="false">
      <c r="A6" s="14" t="s">
        <v>82</v>
      </c>
      <c r="B6" s="14" t="s">
        <v>83</v>
      </c>
      <c r="C6" s="14" t="s">
        <v>56</v>
      </c>
      <c r="D6" s="14" t="s">
        <v>57</v>
      </c>
      <c r="E6" s="14" t="s">
        <v>58</v>
      </c>
      <c r="F6" s="14" t="s">
        <v>59</v>
      </c>
      <c r="G6" s="14" t="s">
        <v>84</v>
      </c>
      <c r="H6" s="14" t="s">
        <v>61</v>
      </c>
      <c r="I6" s="14" t="s">
        <v>62</v>
      </c>
      <c r="J6" s="14" t="s">
        <v>63</v>
      </c>
      <c r="K6" s="14" t="s">
        <v>85</v>
      </c>
      <c r="L6" s="14"/>
      <c r="M6" s="14" t="s">
        <v>65</v>
      </c>
      <c r="N6" s="14" t="s">
        <v>86</v>
      </c>
      <c r="O6" s="14" t="s">
        <v>87</v>
      </c>
      <c r="P6" s="14" t="s">
        <v>88</v>
      </c>
      <c r="Q6" s="14" t="s">
        <v>69</v>
      </c>
      <c r="R6" s="13" t="s">
        <v>70</v>
      </c>
    </row>
    <row r="7" customFormat="false" ht="15" hidden="false" customHeight="false" outlineLevel="0" collapsed="false">
      <c r="A7" s="12" t="s">
        <v>89</v>
      </c>
      <c r="B7" s="12" t="s">
        <v>90</v>
      </c>
      <c r="C7" s="12" t="s">
        <v>56</v>
      </c>
      <c r="D7" s="12" t="s">
        <v>57</v>
      </c>
      <c r="E7" s="12" t="s">
        <v>58</v>
      </c>
      <c r="F7" s="12" t="s">
        <v>59</v>
      </c>
      <c r="G7" s="12" t="s">
        <v>91</v>
      </c>
      <c r="H7" s="12" t="s">
        <v>61</v>
      </c>
      <c r="I7" s="12" t="s">
        <v>62</v>
      </c>
      <c r="J7" s="12" t="s">
        <v>63</v>
      </c>
      <c r="K7" s="12" t="s">
        <v>64</v>
      </c>
      <c r="L7" s="12"/>
      <c r="M7" s="12" t="s">
        <v>65</v>
      </c>
      <c r="N7" s="12" t="s">
        <v>66</v>
      </c>
      <c r="O7" s="12" t="s">
        <v>92</v>
      </c>
      <c r="P7" s="12" t="s">
        <v>93</v>
      </c>
      <c r="Q7" s="12" t="s">
        <v>69</v>
      </c>
      <c r="R7" s="13" t="s">
        <v>70</v>
      </c>
    </row>
    <row r="8" customFormat="false" ht="15" hidden="false" customHeight="false" outlineLevel="0" collapsed="false">
      <c r="A8" s="14" t="s">
        <v>94</v>
      </c>
      <c r="B8" s="14" t="s">
        <v>95</v>
      </c>
      <c r="C8" s="14" t="s">
        <v>56</v>
      </c>
      <c r="D8" s="14" t="s">
        <v>57</v>
      </c>
      <c r="E8" s="14" t="s">
        <v>58</v>
      </c>
      <c r="F8" s="14" t="s">
        <v>59</v>
      </c>
      <c r="G8" s="14" t="s">
        <v>96</v>
      </c>
      <c r="H8" s="14" t="s">
        <v>61</v>
      </c>
      <c r="I8" s="14" t="s">
        <v>62</v>
      </c>
      <c r="J8" s="14" t="s">
        <v>63</v>
      </c>
      <c r="K8" s="14" t="s">
        <v>64</v>
      </c>
      <c r="L8" s="14"/>
      <c r="M8" s="14" t="s">
        <v>65</v>
      </c>
      <c r="N8" s="14" t="s">
        <v>66</v>
      </c>
      <c r="O8" s="14" t="s">
        <v>97</v>
      </c>
      <c r="P8" s="14" t="s">
        <v>98</v>
      </c>
      <c r="Q8" s="14" t="s">
        <v>69</v>
      </c>
      <c r="R8" s="13" t="s">
        <v>70</v>
      </c>
    </row>
    <row r="9" customFormat="false" ht="15" hidden="false" customHeight="false" outlineLevel="0" collapsed="false">
      <c r="A9" s="12" t="s">
        <v>99</v>
      </c>
      <c r="B9" s="12" t="s">
        <v>100</v>
      </c>
      <c r="C9" s="12" t="s">
        <v>56</v>
      </c>
      <c r="D9" s="12" t="s">
        <v>57</v>
      </c>
      <c r="E9" s="12" t="s">
        <v>58</v>
      </c>
      <c r="F9" s="12" t="s">
        <v>59</v>
      </c>
      <c r="G9" s="12" t="s">
        <v>79</v>
      </c>
      <c r="H9" s="12" t="s">
        <v>61</v>
      </c>
      <c r="I9" s="12" t="s">
        <v>62</v>
      </c>
      <c r="J9" s="12" t="s">
        <v>63</v>
      </c>
      <c r="K9" s="12" t="s">
        <v>101</v>
      </c>
      <c r="L9" s="12"/>
      <c r="M9" s="12" t="s">
        <v>65</v>
      </c>
      <c r="N9" s="12" t="s">
        <v>86</v>
      </c>
      <c r="O9" s="12" t="s">
        <v>102</v>
      </c>
      <c r="P9" s="12" t="s">
        <v>103</v>
      </c>
      <c r="Q9" s="12" t="s">
        <v>69</v>
      </c>
      <c r="R9" s="13" t="s">
        <v>70</v>
      </c>
    </row>
    <row r="10" customFormat="false" ht="15" hidden="false" customHeight="false" outlineLevel="0" collapsed="false">
      <c r="A10" s="14" t="s">
        <v>104</v>
      </c>
      <c r="B10" s="14" t="s">
        <v>105</v>
      </c>
      <c r="C10" s="14" t="s">
        <v>56</v>
      </c>
      <c r="D10" s="14" t="s">
        <v>57</v>
      </c>
      <c r="E10" s="14" t="s">
        <v>58</v>
      </c>
      <c r="F10" s="14" t="s">
        <v>59</v>
      </c>
      <c r="G10" s="14" t="s">
        <v>91</v>
      </c>
      <c r="H10" s="14" t="s">
        <v>61</v>
      </c>
      <c r="I10" s="14" t="s">
        <v>62</v>
      </c>
      <c r="J10" s="14" t="s">
        <v>63</v>
      </c>
      <c r="K10" s="14" t="s">
        <v>64</v>
      </c>
      <c r="L10" s="14"/>
      <c r="M10" s="14" t="s">
        <v>65</v>
      </c>
      <c r="N10" s="14" t="s">
        <v>66</v>
      </c>
      <c r="O10" s="14" t="s">
        <v>106</v>
      </c>
      <c r="P10" s="14" t="s">
        <v>107</v>
      </c>
      <c r="Q10" s="14" t="s">
        <v>69</v>
      </c>
      <c r="R10" s="13" t="s">
        <v>70</v>
      </c>
    </row>
    <row r="11" customFormat="false" ht="15" hidden="false" customHeight="false" outlineLevel="0" collapsed="false">
      <c r="A11" s="12" t="s">
        <v>108</v>
      </c>
      <c r="B11" s="12" t="s">
        <v>109</v>
      </c>
      <c r="C11" s="12" t="s">
        <v>56</v>
      </c>
      <c r="D11" s="12" t="s">
        <v>57</v>
      </c>
      <c r="E11" s="12" t="s">
        <v>58</v>
      </c>
      <c r="F11" s="12" t="s">
        <v>59</v>
      </c>
      <c r="G11" s="12" t="s">
        <v>73</v>
      </c>
      <c r="H11" s="12" t="s">
        <v>61</v>
      </c>
      <c r="I11" s="12" t="s">
        <v>62</v>
      </c>
      <c r="J11" s="12" t="s">
        <v>63</v>
      </c>
      <c r="K11" s="12" t="s">
        <v>64</v>
      </c>
      <c r="L11" s="12"/>
      <c r="M11" s="12" t="s">
        <v>65</v>
      </c>
      <c r="N11" s="12" t="s">
        <v>66</v>
      </c>
      <c r="O11" s="12" t="s">
        <v>110</v>
      </c>
      <c r="P11" s="12" t="s">
        <v>111</v>
      </c>
      <c r="Q11" s="12" t="s">
        <v>69</v>
      </c>
      <c r="R11" s="13" t="s">
        <v>70</v>
      </c>
    </row>
    <row r="12" customFormat="false" ht="15" hidden="false" customHeight="false" outlineLevel="0" collapsed="false">
      <c r="A12" s="14" t="s">
        <v>112</v>
      </c>
      <c r="B12" s="14" t="s">
        <v>113</v>
      </c>
      <c r="C12" s="14" t="s">
        <v>56</v>
      </c>
      <c r="D12" s="14" t="s">
        <v>57</v>
      </c>
      <c r="E12" s="14" t="s">
        <v>58</v>
      </c>
      <c r="F12" s="14" t="s">
        <v>59</v>
      </c>
      <c r="G12" s="14" t="s">
        <v>91</v>
      </c>
      <c r="H12" s="14" t="s">
        <v>61</v>
      </c>
      <c r="I12" s="14" t="s">
        <v>62</v>
      </c>
      <c r="J12" s="14" t="s">
        <v>63</v>
      </c>
      <c r="K12" s="14" t="s">
        <v>85</v>
      </c>
      <c r="L12" s="14"/>
      <c r="M12" s="14" t="s">
        <v>65</v>
      </c>
      <c r="N12" s="14" t="s">
        <v>86</v>
      </c>
      <c r="O12" s="14" t="s">
        <v>114</v>
      </c>
      <c r="P12" s="14" t="s">
        <v>68</v>
      </c>
      <c r="Q12" s="14" t="s">
        <v>69</v>
      </c>
      <c r="R12" s="13" t="s">
        <v>70</v>
      </c>
    </row>
    <row r="13" customFormat="false" ht="15" hidden="false" customHeight="false" outlineLevel="0" collapsed="false">
      <c r="A13" s="12" t="s">
        <v>115</v>
      </c>
      <c r="B13" s="12" t="s">
        <v>116</v>
      </c>
      <c r="C13" s="12" t="s">
        <v>56</v>
      </c>
      <c r="D13" s="12" t="s">
        <v>57</v>
      </c>
      <c r="E13" s="12" t="s">
        <v>58</v>
      </c>
      <c r="F13" s="12" t="s">
        <v>59</v>
      </c>
      <c r="G13" s="12" t="s">
        <v>96</v>
      </c>
      <c r="H13" s="12" t="s">
        <v>61</v>
      </c>
      <c r="I13" s="12" t="s">
        <v>62</v>
      </c>
      <c r="J13" s="12" t="s">
        <v>74</v>
      </c>
      <c r="K13" s="12" t="s">
        <v>64</v>
      </c>
      <c r="L13" s="12"/>
      <c r="M13" s="12" t="s">
        <v>65</v>
      </c>
      <c r="N13" s="12" t="s">
        <v>66</v>
      </c>
      <c r="O13" s="12" t="s">
        <v>117</v>
      </c>
      <c r="P13" s="12" t="s">
        <v>118</v>
      </c>
      <c r="Q13" s="12" t="s">
        <v>69</v>
      </c>
      <c r="R13" s="13" t="s">
        <v>70</v>
      </c>
    </row>
    <row r="14" customFormat="false" ht="15" hidden="false" customHeight="false" outlineLevel="0" collapsed="false">
      <c r="A14" s="14" t="s">
        <v>119</v>
      </c>
      <c r="B14" s="14" t="s">
        <v>120</v>
      </c>
      <c r="C14" s="14" t="s">
        <v>56</v>
      </c>
      <c r="D14" s="14" t="s">
        <v>57</v>
      </c>
      <c r="E14" s="14" t="s">
        <v>58</v>
      </c>
      <c r="F14" s="14" t="s">
        <v>59</v>
      </c>
      <c r="G14" s="14" t="s">
        <v>96</v>
      </c>
      <c r="H14" s="14" t="s">
        <v>61</v>
      </c>
      <c r="I14" s="14" t="s">
        <v>62</v>
      </c>
      <c r="J14" s="14" t="s">
        <v>63</v>
      </c>
      <c r="K14" s="14" t="s">
        <v>64</v>
      </c>
      <c r="L14" s="14"/>
      <c r="M14" s="14" t="s">
        <v>65</v>
      </c>
      <c r="N14" s="14" t="s">
        <v>66</v>
      </c>
      <c r="O14" s="14" t="s">
        <v>121</v>
      </c>
      <c r="P14" s="14" t="s">
        <v>122</v>
      </c>
      <c r="Q14" s="14" t="s">
        <v>69</v>
      </c>
      <c r="R14" s="13" t="s">
        <v>70</v>
      </c>
    </row>
    <row r="15" customFormat="false" ht="15" hidden="false" customHeight="false" outlineLevel="0" collapsed="false">
      <c r="A15" s="12" t="s">
        <v>123</v>
      </c>
      <c r="B15" s="12" t="s">
        <v>124</v>
      </c>
      <c r="C15" s="12" t="s">
        <v>56</v>
      </c>
      <c r="D15" s="12" t="s">
        <v>57</v>
      </c>
      <c r="E15" s="12" t="s">
        <v>58</v>
      </c>
      <c r="F15" s="12" t="s">
        <v>59</v>
      </c>
      <c r="G15" s="12" t="s">
        <v>60</v>
      </c>
      <c r="H15" s="12" t="s">
        <v>61</v>
      </c>
      <c r="I15" s="12" t="s">
        <v>62</v>
      </c>
      <c r="J15" s="12" t="s">
        <v>63</v>
      </c>
      <c r="K15" s="12" t="s">
        <v>64</v>
      </c>
      <c r="L15" s="12"/>
      <c r="M15" s="12" t="s">
        <v>65</v>
      </c>
      <c r="N15" s="12" t="s">
        <v>125</v>
      </c>
      <c r="O15" s="12" t="s">
        <v>126</v>
      </c>
      <c r="P15" s="12" t="s">
        <v>127</v>
      </c>
      <c r="Q15" s="12" t="s">
        <v>128</v>
      </c>
      <c r="R15" s="15" t="s">
        <v>129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2" min="11" style="0" width="8"/>
  </cols>
  <sheetData>
    <row r="1" customFormat="false" ht="27.75" hidden="false" customHeight="true" outlineLevel="0" collapsed="false">
      <c r="A1" s="10" t="s">
        <v>130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6" hidden="false" customHeight="true" outlineLevel="0" collapsed="false">
      <c r="A2" s="11" t="s">
        <v>131</v>
      </c>
      <c r="B2" s="11" t="s">
        <v>132</v>
      </c>
      <c r="C2" s="11" t="s">
        <v>133</v>
      </c>
      <c r="D2" s="11" t="s">
        <v>134</v>
      </c>
      <c r="E2" s="11" t="s">
        <v>135</v>
      </c>
      <c r="F2" s="11" t="s">
        <v>136</v>
      </c>
      <c r="G2" s="11" t="s">
        <v>137</v>
      </c>
      <c r="H2" s="11" t="s">
        <v>138</v>
      </c>
      <c r="I2" s="11" t="s">
        <v>139</v>
      </c>
      <c r="J2" s="11" t="s">
        <v>140</v>
      </c>
      <c r="K2" s="11" t="s">
        <v>39</v>
      </c>
      <c r="L2" s="11" t="s">
        <v>141</v>
      </c>
    </row>
    <row r="3" customFormat="false" ht="15" hidden="false" customHeight="false" outlineLevel="0" collapsed="false">
      <c r="A3" s="12" t="s">
        <v>142</v>
      </c>
      <c r="B3" s="12" t="s">
        <v>54</v>
      </c>
      <c r="C3" s="12" t="s">
        <v>143</v>
      </c>
      <c r="D3" s="12" t="s">
        <v>144</v>
      </c>
      <c r="E3" s="12" t="s">
        <v>145</v>
      </c>
      <c r="F3" s="12" t="s">
        <v>146</v>
      </c>
      <c r="G3" s="12" t="s">
        <v>147</v>
      </c>
      <c r="H3" s="12" t="s">
        <v>148</v>
      </c>
      <c r="I3" s="12" t="s">
        <v>149</v>
      </c>
      <c r="J3" s="12" t="s">
        <v>150</v>
      </c>
      <c r="K3" s="12" t="s">
        <v>57</v>
      </c>
      <c r="L3" s="12" t="s">
        <v>70</v>
      </c>
    </row>
    <row r="4" customFormat="false" ht="15" hidden="false" customHeight="false" outlineLevel="0" collapsed="false">
      <c r="A4" s="14" t="s">
        <v>151</v>
      </c>
      <c r="B4" s="14" t="s">
        <v>54</v>
      </c>
      <c r="C4" s="14" t="s">
        <v>152</v>
      </c>
      <c r="D4" s="14" t="s">
        <v>153</v>
      </c>
      <c r="E4" s="14" t="s">
        <v>154</v>
      </c>
      <c r="F4" s="14" t="s">
        <v>146</v>
      </c>
      <c r="G4" s="14" t="s">
        <v>155</v>
      </c>
      <c r="H4" s="14" t="s">
        <v>148</v>
      </c>
      <c r="I4" s="14" t="s">
        <v>156</v>
      </c>
      <c r="J4" s="14" t="s">
        <v>157</v>
      </c>
      <c r="K4" s="14" t="s">
        <v>57</v>
      </c>
      <c r="L4" s="14" t="s">
        <v>70</v>
      </c>
    </row>
    <row r="5" customFormat="false" ht="15" hidden="false" customHeight="false" outlineLevel="0" collapsed="false">
      <c r="A5" s="12" t="s">
        <v>158</v>
      </c>
      <c r="B5" s="12" t="s">
        <v>71</v>
      </c>
      <c r="C5" s="12" t="s">
        <v>159</v>
      </c>
      <c r="D5" s="12" t="s">
        <v>160</v>
      </c>
      <c r="E5" s="12" t="s">
        <v>161</v>
      </c>
      <c r="F5" s="12" t="s">
        <v>162</v>
      </c>
      <c r="G5" s="12" t="s">
        <v>163</v>
      </c>
      <c r="H5" s="12" t="s">
        <v>148</v>
      </c>
      <c r="I5" s="12" t="s">
        <v>164</v>
      </c>
      <c r="J5" s="12" t="s">
        <v>165</v>
      </c>
      <c r="K5" s="12" t="s">
        <v>57</v>
      </c>
      <c r="L5" s="12" t="s">
        <v>70</v>
      </c>
    </row>
    <row r="6" customFormat="false" ht="15" hidden="false" customHeight="false" outlineLevel="0" collapsed="false">
      <c r="A6" s="14" t="s">
        <v>166</v>
      </c>
      <c r="B6" s="14" t="s">
        <v>71</v>
      </c>
      <c r="C6" s="14" t="s">
        <v>167</v>
      </c>
      <c r="D6" s="14" t="s">
        <v>168</v>
      </c>
      <c r="E6" s="14" t="s">
        <v>169</v>
      </c>
      <c r="F6" s="14" t="s">
        <v>170</v>
      </c>
      <c r="G6" s="14" t="s">
        <v>171</v>
      </c>
      <c r="H6" s="14" t="s">
        <v>148</v>
      </c>
      <c r="I6" s="14" t="s">
        <v>172</v>
      </c>
      <c r="J6" s="14" t="s">
        <v>173</v>
      </c>
      <c r="K6" s="14" t="s">
        <v>57</v>
      </c>
      <c r="L6" s="14" t="s">
        <v>70</v>
      </c>
    </row>
    <row r="7" customFormat="false" ht="15" hidden="false" customHeight="false" outlineLevel="0" collapsed="false">
      <c r="A7" s="12" t="s">
        <v>174</v>
      </c>
      <c r="B7" s="12" t="s">
        <v>77</v>
      </c>
      <c r="C7" s="12" t="s">
        <v>175</v>
      </c>
      <c r="D7" s="12" t="s">
        <v>176</v>
      </c>
      <c r="E7" s="12" t="s">
        <v>177</v>
      </c>
      <c r="F7" s="12" t="s">
        <v>178</v>
      </c>
      <c r="G7" s="12" t="s">
        <v>179</v>
      </c>
      <c r="H7" s="12" t="s">
        <v>148</v>
      </c>
      <c r="I7" s="12" t="s">
        <v>180</v>
      </c>
      <c r="J7" s="12" t="s">
        <v>181</v>
      </c>
      <c r="K7" s="12" t="s">
        <v>57</v>
      </c>
      <c r="L7" s="12" t="s">
        <v>70</v>
      </c>
    </row>
    <row r="8" customFormat="false" ht="15" hidden="false" customHeight="false" outlineLevel="0" collapsed="false">
      <c r="A8" s="14" t="s">
        <v>182</v>
      </c>
      <c r="B8" s="14" t="s">
        <v>77</v>
      </c>
      <c r="C8" s="14" t="s">
        <v>183</v>
      </c>
      <c r="D8" s="14" t="s">
        <v>184</v>
      </c>
      <c r="E8" s="14" t="s">
        <v>185</v>
      </c>
      <c r="F8" s="14" t="s">
        <v>178</v>
      </c>
      <c r="G8" s="14" t="s">
        <v>186</v>
      </c>
      <c r="H8" s="14" t="s">
        <v>148</v>
      </c>
      <c r="I8" s="14" t="s">
        <v>187</v>
      </c>
      <c r="J8" s="14" t="s">
        <v>188</v>
      </c>
      <c r="K8" s="14" t="s">
        <v>57</v>
      </c>
      <c r="L8" s="14" t="s">
        <v>70</v>
      </c>
    </row>
    <row r="9" customFormat="false" ht="15" hidden="false" customHeight="false" outlineLevel="0" collapsed="false">
      <c r="A9" s="12" t="s">
        <v>189</v>
      </c>
      <c r="B9" s="12" t="s">
        <v>82</v>
      </c>
      <c r="C9" s="12" t="s">
        <v>190</v>
      </c>
      <c r="D9" s="12" t="s">
        <v>191</v>
      </c>
      <c r="E9" s="12" t="s">
        <v>192</v>
      </c>
      <c r="F9" s="12" t="s">
        <v>193</v>
      </c>
      <c r="G9" s="12" t="s">
        <v>194</v>
      </c>
      <c r="H9" s="12" t="s">
        <v>148</v>
      </c>
      <c r="I9" s="12" t="s">
        <v>195</v>
      </c>
      <c r="J9" s="12" t="s">
        <v>196</v>
      </c>
      <c r="K9" s="12" t="s">
        <v>57</v>
      </c>
      <c r="L9" s="12" t="s">
        <v>70</v>
      </c>
    </row>
    <row r="10" customFormat="false" ht="15" hidden="false" customHeight="false" outlineLevel="0" collapsed="false">
      <c r="A10" s="14" t="s">
        <v>197</v>
      </c>
      <c r="B10" s="14" t="s">
        <v>89</v>
      </c>
      <c r="C10" s="14" t="s">
        <v>198</v>
      </c>
      <c r="D10" s="14" t="s">
        <v>199</v>
      </c>
      <c r="E10" s="14" t="s">
        <v>200</v>
      </c>
      <c r="F10" s="14" t="s">
        <v>201</v>
      </c>
      <c r="G10" s="14" t="s">
        <v>202</v>
      </c>
      <c r="H10" s="14" t="s">
        <v>148</v>
      </c>
      <c r="I10" s="14" t="s">
        <v>203</v>
      </c>
      <c r="J10" s="14" t="s">
        <v>204</v>
      </c>
      <c r="K10" s="14" t="s">
        <v>57</v>
      </c>
      <c r="L10" s="14" t="s">
        <v>70</v>
      </c>
    </row>
    <row r="11" customFormat="false" ht="15" hidden="false" customHeight="false" outlineLevel="0" collapsed="false">
      <c r="A11" s="12" t="s">
        <v>205</v>
      </c>
      <c r="B11" s="12" t="s">
        <v>89</v>
      </c>
      <c r="C11" s="12" t="s">
        <v>206</v>
      </c>
      <c r="D11" s="12" t="s">
        <v>207</v>
      </c>
      <c r="E11" s="12" t="s">
        <v>208</v>
      </c>
      <c r="F11" s="12" t="s">
        <v>201</v>
      </c>
      <c r="G11" s="12" t="s">
        <v>209</v>
      </c>
      <c r="H11" s="12" t="s">
        <v>148</v>
      </c>
      <c r="I11" s="12" t="s">
        <v>210</v>
      </c>
      <c r="J11" s="12" t="s">
        <v>211</v>
      </c>
      <c r="K11" s="12" t="s">
        <v>57</v>
      </c>
      <c r="L11" s="12" t="s">
        <v>70</v>
      </c>
    </row>
    <row r="12" customFormat="false" ht="15" hidden="false" customHeight="false" outlineLevel="0" collapsed="false">
      <c r="A12" s="14" t="s">
        <v>212</v>
      </c>
      <c r="B12" s="14" t="s">
        <v>94</v>
      </c>
      <c r="C12" s="14" t="s">
        <v>213</v>
      </c>
      <c r="D12" s="14" t="s">
        <v>214</v>
      </c>
      <c r="E12" s="14" t="s">
        <v>215</v>
      </c>
      <c r="F12" s="14" t="s">
        <v>216</v>
      </c>
      <c r="G12" s="14" t="s">
        <v>217</v>
      </c>
      <c r="H12" s="14" t="s">
        <v>148</v>
      </c>
      <c r="I12" s="14" t="s">
        <v>218</v>
      </c>
      <c r="J12" s="14" t="s">
        <v>219</v>
      </c>
      <c r="K12" s="14" t="s">
        <v>57</v>
      </c>
      <c r="L12" s="14" t="s">
        <v>70</v>
      </c>
    </row>
    <row r="13" customFormat="false" ht="15" hidden="false" customHeight="false" outlineLevel="0" collapsed="false">
      <c r="A13" s="12" t="s">
        <v>220</v>
      </c>
      <c r="B13" s="12" t="s">
        <v>99</v>
      </c>
      <c r="C13" s="12" t="s">
        <v>221</v>
      </c>
      <c r="D13" s="12" t="s">
        <v>222</v>
      </c>
      <c r="E13" s="12" t="s">
        <v>223</v>
      </c>
      <c r="F13" s="12" t="s">
        <v>224</v>
      </c>
      <c r="G13" s="12" t="s">
        <v>225</v>
      </c>
      <c r="H13" s="12" t="s">
        <v>148</v>
      </c>
      <c r="I13" s="12" t="s">
        <v>226</v>
      </c>
      <c r="J13" s="12" t="s">
        <v>227</v>
      </c>
      <c r="K13" s="12" t="s">
        <v>57</v>
      </c>
      <c r="L13" s="12" t="s">
        <v>70</v>
      </c>
    </row>
    <row r="14" customFormat="false" ht="15" hidden="false" customHeight="false" outlineLevel="0" collapsed="false">
      <c r="A14" s="14" t="s">
        <v>228</v>
      </c>
      <c r="B14" s="14" t="s">
        <v>99</v>
      </c>
      <c r="C14" s="14" t="s">
        <v>229</v>
      </c>
      <c r="D14" s="14" t="s">
        <v>230</v>
      </c>
      <c r="E14" s="14" t="s">
        <v>231</v>
      </c>
      <c r="F14" s="14" t="s">
        <v>232</v>
      </c>
      <c r="G14" s="14" t="s">
        <v>233</v>
      </c>
      <c r="H14" s="14" t="s">
        <v>148</v>
      </c>
      <c r="I14" s="14" t="s">
        <v>234</v>
      </c>
      <c r="J14" s="14" t="s">
        <v>235</v>
      </c>
      <c r="K14" s="14" t="s">
        <v>57</v>
      </c>
      <c r="L14" s="14" t="s">
        <v>70</v>
      </c>
    </row>
    <row r="15" customFormat="false" ht="15" hidden="false" customHeight="false" outlineLevel="0" collapsed="false">
      <c r="A15" s="12" t="s">
        <v>236</v>
      </c>
      <c r="B15" s="12" t="s">
        <v>99</v>
      </c>
      <c r="C15" s="12" t="s">
        <v>237</v>
      </c>
      <c r="D15" s="12" t="s">
        <v>238</v>
      </c>
      <c r="E15" s="12" t="s">
        <v>239</v>
      </c>
      <c r="F15" s="12" t="s">
        <v>193</v>
      </c>
      <c r="G15" s="12" t="s">
        <v>240</v>
      </c>
      <c r="H15" s="12" t="s">
        <v>148</v>
      </c>
      <c r="I15" s="12" t="s">
        <v>241</v>
      </c>
      <c r="J15" s="12" t="s">
        <v>242</v>
      </c>
      <c r="K15" s="12" t="s">
        <v>57</v>
      </c>
      <c r="L15" s="12" t="s">
        <v>70</v>
      </c>
    </row>
    <row r="16" customFormat="false" ht="15" hidden="false" customHeight="false" outlineLevel="0" collapsed="false">
      <c r="A16" s="14" t="s">
        <v>243</v>
      </c>
      <c r="B16" s="14" t="s">
        <v>104</v>
      </c>
      <c r="C16" s="14" t="s">
        <v>244</v>
      </c>
      <c r="D16" s="14" t="s">
        <v>245</v>
      </c>
      <c r="E16" s="14" t="s">
        <v>246</v>
      </c>
      <c r="F16" s="14" t="s">
        <v>232</v>
      </c>
      <c r="G16" s="14" t="s">
        <v>247</v>
      </c>
      <c r="H16" s="14" t="s">
        <v>148</v>
      </c>
      <c r="I16" s="14" t="s">
        <v>248</v>
      </c>
      <c r="J16" s="14" t="s">
        <v>249</v>
      </c>
      <c r="K16" s="14" t="s">
        <v>57</v>
      </c>
      <c r="L16" s="14" t="s">
        <v>70</v>
      </c>
    </row>
    <row r="17" customFormat="false" ht="15" hidden="false" customHeight="false" outlineLevel="0" collapsed="false">
      <c r="A17" s="12" t="s">
        <v>250</v>
      </c>
      <c r="B17" s="12" t="s">
        <v>108</v>
      </c>
      <c r="C17" s="12" t="s">
        <v>251</v>
      </c>
      <c r="D17" s="12" t="s">
        <v>252</v>
      </c>
      <c r="E17" s="12" t="s">
        <v>253</v>
      </c>
      <c r="F17" s="12" t="s">
        <v>162</v>
      </c>
      <c r="G17" s="12" t="s">
        <v>254</v>
      </c>
      <c r="H17" s="12" t="s">
        <v>148</v>
      </c>
      <c r="I17" s="12" t="s">
        <v>255</v>
      </c>
      <c r="J17" s="12" t="s">
        <v>256</v>
      </c>
      <c r="K17" s="12" t="s">
        <v>57</v>
      </c>
      <c r="L17" s="12" t="s">
        <v>70</v>
      </c>
    </row>
    <row r="18" customFormat="false" ht="15" hidden="false" customHeight="false" outlineLevel="0" collapsed="false">
      <c r="A18" s="14" t="s">
        <v>257</v>
      </c>
      <c r="B18" s="14" t="s">
        <v>112</v>
      </c>
      <c r="C18" s="14" t="s">
        <v>258</v>
      </c>
      <c r="D18" s="14" t="s">
        <v>259</v>
      </c>
      <c r="E18" s="14" t="s">
        <v>260</v>
      </c>
      <c r="F18" s="14" t="s">
        <v>232</v>
      </c>
      <c r="G18" s="14" t="s">
        <v>261</v>
      </c>
      <c r="H18" s="14" t="s">
        <v>148</v>
      </c>
      <c r="I18" s="14" t="s">
        <v>262</v>
      </c>
      <c r="J18" s="14" t="s">
        <v>263</v>
      </c>
      <c r="K18" s="14" t="s">
        <v>57</v>
      </c>
      <c r="L18" s="14" t="s">
        <v>70</v>
      </c>
    </row>
    <row r="19" customFormat="false" ht="15" hidden="false" customHeight="false" outlineLevel="0" collapsed="false">
      <c r="A19" s="12" t="s">
        <v>264</v>
      </c>
      <c r="B19" s="12" t="s">
        <v>115</v>
      </c>
      <c r="C19" s="12" t="s">
        <v>265</v>
      </c>
      <c r="D19" s="12" t="s">
        <v>266</v>
      </c>
      <c r="E19" s="12" t="s">
        <v>267</v>
      </c>
      <c r="F19" s="12" t="s">
        <v>268</v>
      </c>
      <c r="G19" s="12" t="s">
        <v>269</v>
      </c>
      <c r="H19" s="12" t="s">
        <v>148</v>
      </c>
      <c r="I19" s="12" t="s">
        <v>270</v>
      </c>
      <c r="J19" s="12" t="s">
        <v>271</v>
      </c>
      <c r="K19" s="12" t="s">
        <v>57</v>
      </c>
      <c r="L19" s="12" t="s">
        <v>70</v>
      </c>
    </row>
    <row r="20" customFormat="false" ht="15" hidden="false" customHeight="false" outlineLevel="0" collapsed="false">
      <c r="A20" s="14" t="s">
        <v>272</v>
      </c>
      <c r="B20" s="14" t="s">
        <v>119</v>
      </c>
      <c r="C20" s="14" t="s">
        <v>273</v>
      </c>
      <c r="D20" s="14" t="s">
        <v>274</v>
      </c>
      <c r="E20" s="14" t="s">
        <v>275</v>
      </c>
      <c r="F20" s="14" t="s">
        <v>268</v>
      </c>
      <c r="G20" s="14" t="s">
        <v>276</v>
      </c>
      <c r="H20" s="14" t="s">
        <v>148</v>
      </c>
      <c r="I20" s="14" t="s">
        <v>277</v>
      </c>
      <c r="J20" s="14" t="s">
        <v>278</v>
      </c>
      <c r="K20" s="14" t="s">
        <v>57</v>
      </c>
      <c r="L20" s="14" t="s">
        <v>70</v>
      </c>
    </row>
    <row r="21" customFormat="false" ht="15" hidden="false" customHeight="false" outlineLevel="0" collapsed="false">
      <c r="A21" s="12" t="s">
        <v>279</v>
      </c>
      <c r="B21" s="12" t="s">
        <v>123</v>
      </c>
      <c r="C21" s="12" t="s">
        <v>280</v>
      </c>
      <c r="D21" s="12" t="s">
        <v>281</v>
      </c>
      <c r="E21" s="12" t="s">
        <v>282</v>
      </c>
      <c r="F21" s="12" t="s">
        <v>283</v>
      </c>
      <c r="G21" s="12" t="s">
        <v>284</v>
      </c>
      <c r="H21" s="12" t="s">
        <v>148</v>
      </c>
      <c r="I21" s="12" t="s">
        <v>285</v>
      </c>
      <c r="J21" s="12" t="s">
        <v>286</v>
      </c>
      <c r="K21" s="12" t="s">
        <v>57</v>
      </c>
      <c r="L21" s="12" t="s">
        <v>70</v>
      </c>
    </row>
    <row r="22" customFormat="false" ht="19.5" hidden="false" customHeight="true" outlineLevel="0" collapsed="false">
      <c r="A22" s="16" t="s">
        <v>287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</sheetData>
  <mergeCells count="2">
    <mergeCell ref="A1:L1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5" min="4" style="0" width="6"/>
    <col collapsed="false" customWidth="true" hidden="false" outlineLevel="0" max="9" min="6" style="0" width="8"/>
    <col collapsed="false" customWidth="true" hidden="false" outlineLevel="0" max="10" min="10" style="0" width="6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4" min="13" style="0" width="8"/>
    <col collapsed="false" customWidth="true" hidden="false" outlineLevel="0" max="15" min="15" style="0" width="12"/>
    <col collapsed="false" customWidth="true" hidden="false" outlineLevel="0" max="16" min="16" style="0" width="8"/>
  </cols>
  <sheetData>
    <row r="1" customFormat="false" ht="27.75" hidden="false" customHeight="true" outlineLevel="0" collapsed="false">
      <c r="A1" s="10" t="s">
        <v>288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customFormat="false" ht="36" hidden="false" customHeight="true" outlineLevel="0" collapsed="false">
      <c r="A2" s="11" t="s">
        <v>289</v>
      </c>
      <c r="B2" s="11" t="s">
        <v>290</v>
      </c>
      <c r="C2" s="11" t="s">
        <v>291</v>
      </c>
      <c r="D2" s="11" t="s">
        <v>292</v>
      </c>
      <c r="E2" s="11" t="s">
        <v>293</v>
      </c>
      <c r="F2" s="11" t="s">
        <v>294</v>
      </c>
      <c r="G2" s="11" t="s">
        <v>295</v>
      </c>
      <c r="H2" s="11" t="s">
        <v>296</v>
      </c>
      <c r="I2" s="11" t="s">
        <v>297</v>
      </c>
      <c r="J2" s="11" t="s">
        <v>298</v>
      </c>
      <c r="K2" s="11" t="s">
        <v>299</v>
      </c>
      <c r="L2" s="11" t="s">
        <v>300</v>
      </c>
      <c r="M2" s="11" t="s">
        <v>301</v>
      </c>
      <c r="N2" s="11" t="s">
        <v>302</v>
      </c>
      <c r="O2" s="11" t="s">
        <v>303</v>
      </c>
      <c r="P2" s="11" t="s">
        <v>304</v>
      </c>
    </row>
    <row r="3" customFormat="false" ht="15" hidden="false" customHeight="false" outlineLevel="0" collapsed="false">
      <c r="A3" s="12" t="s">
        <v>305</v>
      </c>
      <c r="B3" s="12" t="s">
        <v>306</v>
      </c>
      <c r="C3" s="12" t="s">
        <v>307</v>
      </c>
      <c r="D3" s="12" t="s">
        <v>308</v>
      </c>
      <c r="E3" s="12" t="s">
        <v>309</v>
      </c>
      <c r="F3" s="12" t="n">
        <v>12</v>
      </c>
      <c r="G3" s="12" t="n">
        <v>1</v>
      </c>
      <c r="H3" s="12" t="n">
        <v>5.2</v>
      </c>
      <c r="I3" s="12" t="n">
        <v>4.8</v>
      </c>
      <c r="J3" s="12" t="s">
        <v>310</v>
      </c>
      <c r="K3" s="12" t="s">
        <v>311</v>
      </c>
      <c r="L3" s="12"/>
      <c r="M3" s="12" t="s">
        <v>312</v>
      </c>
      <c r="N3" s="12" t="s">
        <v>313</v>
      </c>
      <c r="O3" s="12" t="s">
        <v>314</v>
      </c>
      <c r="P3" s="12" t="s">
        <v>70</v>
      </c>
    </row>
    <row r="4" customFormat="false" ht="15" hidden="false" customHeight="false" outlineLevel="0" collapsed="false">
      <c r="A4" s="14" t="s">
        <v>315</v>
      </c>
      <c r="B4" s="14" t="s">
        <v>316</v>
      </c>
      <c r="C4" s="14" t="s">
        <v>307</v>
      </c>
      <c r="D4" s="14" t="s">
        <v>308</v>
      </c>
      <c r="E4" s="14" t="s">
        <v>309</v>
      </c>
      <c r="F4" s="14" t="n">
        <v>12</v>
      </c>
      <c r="G4" s="14" t="n">
        <v>1</v>
      </c>
      <c r="H4" s="14" t="n">
        <v>5.1</v>
      </c>
      <c r="I4" s="14" t="n">
        <v>4.7</v>
      </c>
      <c r="J4" s="14" t="s">
        <v>310</v>
      </c>
      <c r="K4" s="14" t="s">
        <v>317</v>
      </c>
      <c r="L4" s="14"/>
      <c r="M4" s="14" t="s">
        <v>312</v>
      </c>
      <c r="N4" s="14" t="s">
        <v>313</v>
      </c>
      <c r="O4" s="14" t="s">
        <v>314</v>
      </c>
      <c r="P4" s="14" t="s">
        <v>70</v>
      </c>
    </row>
    <row r="5" customFormat="false" ht="15" hidden="false" customHeight="false" outlineLevel="0" collapsed="false">
      <c r="A5" s="12" t="s">
        <v>318</v>
      </c>
      <c r="B5" s="12" t="s">
        <v>319</v>
      </c>
      <c r="C5" s="12" t="s">
        <v>307</v>
      </c>
      <c r="D5" s="12" t="s">
        <v>308</v>
      </c>
      <c r="E5" s="12" t="s">
        <v>309</v>
      </c>
      <c r="F5" s="12" t="n">
        <v>12</v>
      </c>
      <c r="G5" s="12" t="n">
        <v>1</v>
      </c>
      <c r="H5" s="12" t="n">
        <v>5.1</v>
      </c>
      <c r="I5" s="12" t="n">
        <v>4.7</v>
      </c>
      <c r="J5" s="12" t="s">
        <v>310</v>
      </c>
      <c r="K5" s="12" t="s">
        <v>320</v>
      </c>
      <c r="L5" s="12"/>
      <c r="M5" s="12" t="s">
        <v>312</v>
      </c>
      <c r="N5" s="12" t="s">
        <v>313</v>
      </c>
      <c r="O5" s="12" t="s">
        <v>321</v>
      </c>
      <c r="P5" s="12" t="s">
        <v>70</v>
      </c>
    </row>
    <row r="6" customFormat="false" ht="15" hidden="false" customHeight="false" outlineLevel="0" collapsed="false">
      <c r="A6" s="14" t="s">
        <v>322</v>
      </c>
      <c r="B6" s="14" t="s">
        <v>323</v>
      </c>
      <c r="C6" s="14" t="s">
        <v>324</v>
      </c>
      <c r="D6" s="14" t="s">
        <v>308</v>
      </c>
      <c r="E6" s="14" t="s">
        <v>309</v>
      </c>
      <c r="F6" s="14" t="n">
        <v>24</v>
      </c>
      <c r="G6" s="14" t="n">
        <v>1</v>
      </c>
      <c r="H6" s="14" t="n">
        <v>7.8</v>
      </c>
      <c r="I6" s="14" t="n">
        <v>7.2</v>
      </c>
      <c r="J6" s="14" t="s">
        <v>310</v>
      </c>
      <c r="K6" s="14" t="s">
        <v>325</v>
      </c>
      <c r="L6" s="14"/>
      <c r="M6" s="14" t="s">
        <v>312</v>
      </c>
      <c r="N6" s="14" t="s">
        <v>326</v>
      </c>
      <c r="O6" s="14" t="s">
        <v>314</v>
      </c>
      <c r="P6" s="14" t="s">
        <v>70</v>
      </c>
    </row>
    <row r="7" customFormat="false" ht="15" hidden="false" customHeight="false" outlineLevel="0" collapsed="false">
      <c r="A7" s="12" t="s">
        <v>327</v>
      </c>
      <c r="B7" s="12" t="s">
        <v>328</v>
      </c>
      <c r="C7" s="12" t="s">
        <v>324</v>
      </c>
      <c r="D7" s="12" t="s">
        <v>308</v>
      </c>
      <c r="E7" s="12" t="s">
        <v>309</v>
      </c>
      <c r="F7" s="12" t="n">
        <v>12</v>
      </c>
      <c r="G7" s="12" t="n">
        <v>1</v>
      </c>
      <c r="H7" s="12" t="n">
        <v>4.2</v>
      </c>
      <c r="I7" s="12" t="n">
        <v>3.9</v>
      </c>
      <c r="J7" s="12" t="s">
        <v>310</v>
      </c>
      <c r="K7" s="12" t="s">
        <v>329</v>
      </c>
      <c r="L7" s="12"/>
      <c r="M7" s="12" t="s">
        <v>312</v>
      </c>
      <c r="N7" s="12" t="s">
        <v>326</v>
      </c>
      <c r="O7" s="12" t="s">
        <v>330</v>
      </c>
      <c r="P7" s="12" t="s">
        <v>70</v>
      </c>
    </row>
    <row r="8" customFormat="false" ht="15" hidden="false" customHeight="false" outlineLevel="0" collapsed="false">
      <c r="A8" s="14" t="s">
        <v>331</v>
      </c>
      <c r="B8" s="14" t="s">
        <v>332</v>
      </c>
      <c r="C8" s="14" t="s">
        <v>333</v>
      </c>
      <c r="D8" s="14" t="s">
        <v>308</v>
      </c>
      <c r="E8" s="14" t="s">
        <v>309</v>
      </c>
      <c r="F8" s="14" t="n">
        <v>48</v>
      </c>
      <c r="G8" s="14" t="n">
        <v>1</v>
      </c>
      <c r="H8" s="14" t="n">
        <v>6.2</v>
      </c>
      <c r="I8" s="14" t="n">
        <v>5.8</v>
      </c>
      <c r="J8" s="14" t="s">
        <v>310</v>
      </c>
      <c r="K8" s="14" t="s">
        <v>334</v>
      </c>
      <c r="L8" s="14"/>
      <c r="M8" s="14" t="s">
        <v>312</v>
      </c>
      <c r="N8" s="14" t="s">
        <v>335</v>
      </c>
      <c r="O8" s="14" t="s">
        <v>336</v>
      </c>
      <c r="P8" s="14" t="s">
        <v>70</v>
      </c>
    </row>
    <row r="9" customFormat="false" ht="15" hidden="false" customHeight="false" outlineLevel="0" collapsed="false">
      <c r="A9" s="12" t="s">
        <v>337</v>
      </c>
      <c r="B9" s="12" t="s">
        <v>338</v>
      </c>
      <c r="C9" s="12" t="s">
        <v>333</v>
      </c>
      <c r="D9" s="12" t="s">
        <v>308</v>
      </c>
      <c r="E9" s="12" t="s">
        <v>309</v>
      </c>
      <c r="F9" s="12" t="n">
        <v>36</v>
      </c>
      <c r="G9" s="12" t="n">
        <v>1</v>
      </c>
      <c r="H9" s="12" t="n">
        <v>5</v>
      </c>
      <c r="I9" s="12" t="n">
        <v>4.6</v>
      </c>
      <c r="J9" s="12" t="s">
        <v>310</v>
      </c>
      <c r="K9" s="12" t="s">
        <v>339</v>
      </c>
      <c r="L9" s="12"/>
      <c r="M9" s="12" t="s">
        <v>312</v>
      </c>
      <c r="N9" s="12" t="s">
        <v>335</v>
      </c>
      <c r="O9" s="12" t="s">
        <v>336</v>
      </c>
      <c r="P9" s="12" t="s">
        <v>70</v>
      </c>
    </row>
    <row r="10" customFormat="false" ht="15" hidden="false" customHeight="false" outlineLevel="0" collapsed="false">
      <c r="A10" s="14" t="s">
        <v>340</v>
      </c>
      <c r="B10" s="14" t="s">
        <v>341</v>
      </c>
      <c r="C10" s="14" t="s">
        <v>333</v>
      </c>
      <c r="D10" s="14" t="s">
        <v>308</v>
      </c>
      <c r="E10" s="14" t="s">
        <v>309</v>
      </c>
      <c r="F10" s="14" t="n">
        <v>60</v>
      </c>
      <c r="G10" s="14" t="n">
        <v>1</v>
      </c>
      <c r="H10" s="14" t="n">
        <v>7.5</v>
      </c>
      <c r="I10" s="14" t="n">
        <v>7</v>
      </c>
      <c r="J10" s="14" t="s">
        <v>310</v>
      </c>
      <c r="K10" s="14" t="s">
        <v>342</v>
      </c>
      <c r="L10" s="14"/>
      <c r="M10" s="14" t="s">
        <v>312</v>
      </c>
      <c r="N10" s="14" t="s">
        <v>335</v>
      </c>
      <c r="O10" s="14" t="s">
        <v>343</v>
      </c>
      <c r="P10" s="14" t="s">
        <v>70</v>
      </c>
    </row>
    <row r="11" customFormat="false" ht="15" hidden="false" customHeight="false" outlineLevel="0" collapsed="false">
      <c r="A11" s="12" t="s">
        <v>344</v>
      </c>
      <c r="B11" s="12" t="s">
        <v>345</v>
      </c>
      <c r="C11" s="12" t="s">
        <v>333</v>
      </c>
      <c r="D11" s="12" t="s">
        <v>308</v>
      </c>
      <c r="E11" s="12" t="s">
        <v>309</v>
      </c>
      <c r="F11" s="12" t="n">
        <v>24</v>
      </c>
      <c r="G11" s="12" t="n">
        <v>1</v>
      </c>
      <c r="H11" s="12" t="n">
        <v>3.2</v>
      </c>
      <c r="I11" s="12" t="n">
        <v>2.9</v>
      </c>
      <c r="J11" s="12" t="s">
        <v>310</v>
      </c>
      <c r="K11" s="12" t="s">
        <v>346</v>
      </c>
      <c r="L11" s="12"/>
      <c r="M11" s="12" t="s">
        <v>312</v>
      </c>
      <c r="N11" s="12" t="s">
        <v>335</v>
      </c>
      <c r="O11" s="12" t="s">
        <v>347</v>
      </c>
      <c r="P11" s="12" t="s">
        <v>70</v>
      </c>
    </row>
    <row r="12" customFormat="false" ht="15" hidden="false" customHeight="false" outlineLevel="0" collapsed="false">
      <c r="A12" s="14" t="s">
        <v>348</v>
      </c>
      <c r="B12" s="14" t="s">
        <v>349</v>
      </c>
      <c r="C12" s="14" t="s">
        <v>350</v>
      </c>
      <c r="D12" s="14" t="s">
        <v>309</v>
      </c>
      <c r="E12" s="14" t="s">
        <v>309</v>
      </c>
      <c r="F12" s="14" t="n">
        <v>1</v>
      </c>
      <c r="G12" s="14" t="n">
        <v>1</v>
      </c>
      <c r="H12" s="14" t="n">
        <v>18</v>
      </c>
      <c r="I12" s="14" t="n">
        <v>16.5</v>
      </c>
      <c r="J12" s="14" t="s">
        <v>310</v>
      </c>
      <c r="K12" s="14" t="s">
        <v>351</v>
      </c>
      <c r="L12" s="14"/>
      <c r="M12" s="14" t="s">
        <v>312</v>
      </c>
      <c r="N12" s="14" t="s">
        <v>352</v>
      </c>
      <c r="O12" s="14" t="s">
        <v>353</v>
      </c>
      <c r="P12" s="14" t="s">
        <v>70</v>
      </c>
    </row>
    <row r="13" customFormat="false" ht="15" hidden="false" customHeight="false" outlineLevel="0" collapsed="false">
      <c r="A13" s="12" t="s">
        <v>354</v>
      </c>
      <c r="B13" s="12" t="s">
        <v>355</v>
      </c>
      <c r="C13" s="12" t="s">
        <v>350</v>
      </c>
      <c r="D13" s="12" t="s">
        <v>309</v>
      </c>
      <c r="E13" s="12" t="s">
        <v>309</v>
      </c>
      <c r="F13" s="12" t="n">
        <v>1</v>
      </c>
      <c r="G13" s="12" t="n">
        <v>1</v>
      </c>
      <c r="H13" s="12" t="n">
        <v>34</v>
      </c>
      <c r="I13" s="12" t="n">
        <v>31.5</v>
      </c>
      <c r="J13" s="12" t="s">
        <v>310</v>
      </c>
      <c r="K13" s="12" t="s">
        <v>356</v>
      </c>
      <c r="L13" s="12"/>
      <c r="M13" s="12" t="s">
        <v>312</v>
      </c>
      <c r="N13" s="12" t="s">
        <v>352</v>
      </c>
      <c r="O13" s="12" t="s">
        <v>353</v>
      </c>
      <c r="P13" s="12" t="s">
        <v>70</v>
      </c>
    </row>
    <row r="14" customFormat="false" ht="15" hidden="false" customHeight="false" outlineLevel="0" collapsed="false">
      <c r="A14" s="14" t="s">
        <v>357</v>
      </c>
      <c r="B14" s="14" t="s">
        <v>358</v>
      </c>
      <c r="C14" s="14" t="s">
        <v>359</v>
      </c>
      <c r="D14" s="14" t="s">
        <v>308</v>
      </c>
      <c r="E14" s="14" t="s">
        <v>309</v>
      </c>
      <c r="F14" s="14" t="n">
        <v>12</v>
      </c>
      <c r="G14" s="14" t="n">
        <v>1</v>
      </c>
      <c r="H14" s="14" t="n">
        <v>14.5</v>
      </c>
      <c r="I14" s="14" t="n">
        <v>13.8</v>
      </c>
      <c r="J14" s="14" t="s">
        <v>310</v>
      </c>
      <c r="K14" s="14" t="s">
        <v>360</v>
      </c>
      <c r="L14" s="14"/>
      <c r="M14" s="14" t="s">
        <v>312</v>
      </c>
      <c r="N14" s="14" t="s">
        <v>313</v>
      </c>
      <c r="O14" s="14" t="s">
        <v>361</v>
      </c>
      <c r="P14" s="14" t="s">
        <v>70</v>
      </c>
    </row>
    <row r="15" customFormat="false" ht="15" hidden="false" customHeight="false" outlineLevel="0" collapsed="false">
      <c r="A15" s="12" t="s">
        <v>362</v>
      </c>
      <c r="B15" s="12" t="s">
        <v>363</v>
      </c>
      <c r="C15" s="12" t="s">
        <v>364</v>
      </c>
      <c r="D15" s="12" t="s">
        <v>308</v>
      </c>
      <c r="E15" s="12" t="s">
        <v>309</v>
      </c>
      <c r="F15" s="12" t="n">
        <v>24</v>
      </c>
      <c r="G15" s="12" t="n">
        <v>1</v>
      </c>
      <c r="H15" s="12" t="n">
        <v>6</v>
      </c>
      <c r="I15" s="12" t="n">
        <v>5.6</v>
      </c>
      <c r="J15" s="12" t="s">
        <v>310</v>
      </c>
      <c r="K15" s="12" t="s">
        <v>365</v>
      </c>
      <c r="L15" s="12"/>
      <c r="M15" s="12" t="s">
        <v>312</v>
      </c>
      <c r="N15" s="12" t="s">
        <v>313</v>
      </c>
      <c r="O15" s="12" t="s">
        <v>366</v>
      </c>
      <c r="P15" s="12" t="s">
        <v>70</v>
      </c>
    </row>
    <row r="16" customFormat="false" ht="15" hidden="false" customHeight="false" outlineLevel="0" collapsed="false">
      <c r="A16" s="14" t="s">
        <v>367</v>
      </c>
      <c r="B16" s="14" t="s">
        <v>368</v>
      </c>
      <c r="C16" s="14" t="s">
        <v>364</v>
      </c>
      <c r="D16" s="14" t="s">
        <v>308</v>
      </c>
      <c r="E16" s="14" t="s">
        <v>309</v>
      </c>
      <c r="F16" s="14" t="n">
        <v>12</v>
      </c>
      <c r="G16" s="14" t="n">
        <v>1</v>
      </c>
      <c r="H16" s="14" t="n">
        <v>6</v>
      </c>
      <c r="I16" s="14" t="n">
        <v>5.6</v>
      </c>
      <c r="J16" s="14" t="s">
        <v>310</v>
      </c>
      <c r="K16" s="14" t="s">
        <v>369</v>
      </c>
      <c r="L16" s="14"/>
      <c r="M16" s="14" t="s">
        <v>312</v>
      </c>
      <c r="N16" s="14" t="s">
        <v>313</v>
      </c>
      <c r="O16" s="14" t="s">
        <v>366</v>
      </c>
      <c r="P16" s="14" t="s">
        <v>70</v>
      </c>
    </row>
    <row r="17" customFormat="false" ht="19.5" hidden="false" customHeight="true" outlineLevel="0" collapsed="false">
      <c r="A17" s="16" t="s">
        <v>370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2">
    <mergeCell ref="A1:P1"/>
    <mergeCell ref="A17:P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38"/>
  </cols>
  <sheetData>
    <row r="1" customFormat="false" ht="27.75" hidden="false" customHeight="true" outlineLevel="0" collapsed="false">
      <c r="A1" s="10" t="s">
        <v>371</v>
      </c>
      <c r="B1" s="10"/>
      <c r="C1" s="10"/>
      <c r="D1" s="10"/>
      <c r="E1" s="10"/>
      <c r="F1" s="10"/>
      <c r="G1" s="10"/>
    </row>
    <row r="2" customFormat="false" ht="36" hidden="false" customHeight="true" outlineLevel="0" collapsed="false">
      <c r="A2" s="11" t="s">
        <v>36</v>
      </c>
      <c r="B2" s="11" t="s">
        <v>372</v>
      </c>
      <c r="C2" s="11" t="s">
        <v>373</v>
      </c>
      <c r="D2" s="11" t="s">
        <v>374</v>
      </c>
      <c r="E2" s="11" t="s">
        <v>375</v>
      </c>
      <c r="F2" s="11" t="s">
        <v>376</v>
      </c>
      <c r="G2" s="11" t="s">
        <v>377</v>
      </c>
    </row>
    <row r="3" customFormat="false" ht="15" hidden="false" customHeight="false" outlineLevel="0" collapsed="false">
      <c r="A3" s="12" t="s">
        <v>54</v>
      </c>
      <c r="B3" s="12" t="s">
        <v>305</v>
      </c>
      <c r="C3" s="12" t="s">
        <v>378</v>
      </c>
      <c r="D3" s="12" t="s">
        <v>379</v>
      </c>
      <c r="E3" s="12" t="s">
        <v>309</v>
      </c>
      <c r="F3" s="12"/>
      <c r="G3" s="12" t="s">
        <v>380</v>
      </c>
    </row>
    <row r="4" customFormat="false" ht="15" hidden="false" customHeight="false" outlineLevel="0" collapsed="false">
      <c r="A4" s="14" t="s">
        <v>54</v>
      </c>
      <c r="B4" s="14" t="s">
        <v>315</v>
      </c>
      <c r="C4" s="14" t="s">
        <v>381</v>
      </c>
      <c r="D4" s="14" t="s">
        <v>382</v>
      </c>
      <c r="E4" s="14" t="s">
        <v>309</v>
      </c>
      <c r="F4" s="14"/>
      <c r="G4" s="14"/>
    </row>
    <row r="5" customFormat="false" ht="15" hidden="false" customHeight="false" outlineLevel="0" collapsed="false">
      <c r="A5" s="12" t="s">
        <v>54</v>
      </c>
      <c r="B5" s="12" t="s">
        <v>318</v>
      </c>
      <c r="C5" s="12" t="s">
        <v>383</v>
      </c>
      <c r="D5" s="12" t="s">
        <v>384</v>
      </c>
      <c r="E5" s="12" t="s">
        <v>309</v>
      </c>
      <c r="F5" s="12"/>
      <c r="G5" s="12"/>
    </row>
    <row r="6" customFormat="false" ht="15" hidden="false" customHeight="false" outlineLevel="0" collapsed="false">
      <c r="A6" s="14" t="s">
        <v>71</v>
      </c>
      <c r="B6" s="14" t="s">
        <v>322</v>
      </c>
      <c r="C6" s="14" t="s">
        <v>385</v>
      </c>
      <c r="D6" s="14" t="s">
        <v>386</v>
      </c>
      <c r="E6" s="14" t="s">
        <v>309</v>
      </c>
      <c r="F6" s="14"/>
      <c r="G6" s="14" t="s">
        <v>387</v>
      </c>
    </row>
    <row r="7" customFormat="false" ht="15" hidden="false" customHeight="false" outlineLevel="0" collapsed="false">
      <c r="A7" s="12" t="s">
        <v>71</v>
      </c>
      <c r="B7" s="12" t="s">
        <v>327</v>
      </c>
      <c r="C7" s="12" t="s">
        <v>388</v>
      </c>
      <c r="D7" s="12" t="s">
        <v>389</v>
      </c>
      <c r="E7" s="12" t="s">
        <v>309</v>
      </c>
      <c r="F7" s="12"/>
      <c r="G7" s="12"/>
    </row>
    <row r="8" customFormat="false" ht="15" hidden="false" customHeight="false" outlineLevel="0" collapsed="false">
      <c r="A8" s="14" t="s">
        <v>77</v>
      </c>
      <c r="B8" s="14" t="s">
        <v>331</v>
      </c>
      <c r="C8" s="14" t="s">
        <v>390</v>
      </c>
      <c r="D8" s="14" t="s">
        <v>391</v>
      </c>
      <c r="E8" s="14" t="s">
        <v>309</v>
      </c>
      <c r="F8" s="14"/>
      <c r="G8" s="14" t="s">
        <v>392</v>
      </c>
    </row>
    <row r="9" customFormat="false" ht="15" hidden="false" customHeight="false" outlineLevel="0" collapsed="false">
      <c r="A9" s="12" t="s">
        <v>82</v>
      </c>
      <c r="B9" s="12" t="s">
        <v>348</v>
      </c>
      <c r="C9" s="12" t="s">
        <v>393</v>
      </c>
      <c r="D9" s="12" t="s">
        <v>394</v>
      </c>
      <c r="E9" s="12" t="s">
        <v>309</v>
      </c>
      <c r="F9" s="12"/>
      <c r="G9" s="12" t="s">
        <v>395</v>
      </c>
    </row>
    <row r="10" customFormat="false" ht="15" hidden="false" customHeight="false" outlineLevel="0" collapsed="false">
      <c r="A10" s="14" t="s">
        <v>82</v>
      </c>
      <c r="B10" s="14" t="s">
        <v>354</v>
      </c>
      <c r="C10" s="14" t="s">
        <v>396</v>
      </c>
      <c r="D10" s="14" t="s">
        <v>397</v>
      </c>
      <c r="E10" s="14" t="s">
        <v>309</v>
      </c>
      <c r="F10" s="14"/>
      <c r="G10" s="14"/>
    </row>
    <row r="11" customFormat="false" ht="15" hidden="false" customHeight="false" outlineLevel="0" collapsed="false">
      <c r="A11" s="12" t="s">
        <v>99</v>
      </c>
      <c r="B11" s="12" t="s">
        <v>305</v>
      </c>
      <c r="C11" s="12" t="s">
        <v>398</v>
      </c>
      <c r="D11" s="12" t="s">
        <v>399</v>
      </c>
      <c r="E11" s="12" t="s">
        <v>309</v>
      </c>
      <c r="F11" s="12" t="s">
        <v>400</v>
      </c>
      <c r="G11" s="12" t="s">
        <v>401</v>
      </c>
    </row>
    <row r="12" customFormat="false" ht="15" hidden="false" customHeight="false" outlineLevel="0" collapsed="false">
      <c r="A12" s="14" t="s">
        <v>99</v>
      </c>
      <c r="B12" s="14" t="s">
        <v>322</v>
      </c>
      <c r="C12" s="14" t="s">
        <v>402</v>
      </c>
      <c r="D12" s="14" t="s">
        <v>403</v>
      </c>
      <c r="E12" s="14" t="s">
        <v>309</v>
      </c>
      <c r="F12" s="14" t="s">
        <v>404</v>
      </c>
      <c r="G12" s="14"/>
    </row>
    <row r="13" customFormat="false" ht="15" hidden="false" customHeight="false" outlineLevel="0" collapsed="false">
      <c r="A13" s="12" t="s">
        <v>104</v>
      </c>
      <c r="B13" s="12" t="s">
        <v>305</v>
      </c>
      <c r="C13" s="12" t="s">
        <v>405</v>
      </c>
      <c r="D13" s="12" t="s">
        <v>406</v>
      </c>
      <c r="E13" s="12" t="s">
        <v>309</v>
      </c>
      <c r="F13" s="12"/>
      <c r="G13" s="12" t="s">
        <v>407</v>
      </c>
    </row>
    <row r="14" customFormat="false" ht="15" hidden="false" customHeight="false" outlineLevel="0" collapsed="false">
      <c r="A14" s="14" t="s">
        <v>108</v>
      </c>
      <c r="B14" s="14" t="s">
        <v>322</v>
      </c>
      <c r="C14" s="14" t="s">
        <v>408</v>
      </c>
      <c r="D14" s="14" t="s">
        <v>409</v>
      </c>
      <c r="E14" s="14" t="s">
        <v>309</v>
      </c>
      <c r="F14" s="14"/>
      <c r="G14" s="14" t="s">
        <v>410</v>
      </c>
    </row>
    <row r="15" customFormat="false" ht="15" hidden="false" customHeight="false" outlineLevel="0" collapsed="false">
      <c r="A15" s="12" t="s">
        <v>112</v>
      </c>
      <c r="B15" s="12" t="s">
        <v>348</v>
      </c>
      <c r="C15" s="12" t="s">
        <v>411</v>
      </c>
      <c r="D15" s="12" t="s">
        <v>349</v>
      </c>
      <c r="E15" s="12" t="s">
        <v>309</v>
      </c>
      <c r="F15" s="12"/>
      <c r="G15" s="12" t="s">
        <v>412</v>
      </c>
    </row>
    <row r="16" customFormat="false" ht="15" hidden="false" customHeight="false" outlineLevel="0" collapsed="false">
      <c r="A16" s="14" t="s">
        <v>119</v>
      </c>
      <c r="B16" s="14" t="s">
        <v>331</v>
      </c>
      <c r="C16" s="14" t="s">
        <v>413</v>
      </c>
      <c r="D16" s="14" t="s">
        <v>414</v>
      </c>
      <c r="E16" s="14" t="s">
        <v>309</v>
      </c>
      <c r="F16" s="14"/>
      <c r="G16" s="14" t="s">
        <v>415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8" min="7" style="0" width="8"/>
    <col collapsed="false" customWidth="true" hidden="false" outlineLevel="0" max="10" min="9" style="0" width="12"/>
    <col collapsed="false" customWidth="true" hidden="false" outlineLevel="0" max="12" min="11" style="0" width="8"/>
  </cols>
  <sheetData>
    <row r="1" customFormat="false" ht="27.75" hidden="false" customHeight="true" outlineLevel="0" collapsed="false">
      <c r="A1" s="10" t="s">
        <v>416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6" hidden="false" customHeight="true" outlineLevel="0" collapsed="false">
      <c r="A2" s="11" t="s">
        <v>417</v>
      </c>
      <c r="B2" s="11" t="s">
        <v>418</v>
      </c>
      <c r="C2" s="11" t="s">
        <v>419</v>
      </c>
      <c r="D2" s="11" t="s">
        <v>420</v>
      </c>
      <c r="E2" s="11" t="s">
        <v>421</v>
      </c>
      <c r="F2" s="11" t="s">
        <v>422</v>
      </c>
      <c r="G2" s="11" t="s">
        <v>423</v>
      </c>
      <c r="H2" s="11" t="s">
        <v>44</v>
      </c>
      <c r="I2" s="11" t="s">
        <v>424</v>
      </c>
      <c r="J2" s="11" t="s">
        <v>425</v>
      </c>
      <c r="K2" s="11" t="s">
        <v>426</v>
      </c>
      <c r="L2" s="11" t="s">
        <v>427</v>
      </c>
    </row>
    <row r="3" customFormat="false" ht="15" hidden="false" customHeight="false" outlineLevel="0" collapsed="false">
      <c r="A3" s="12" t="s">
        <v>428</v>
      </c>
      <c r="B3" s="12" t="s">
        <v>429</v>
      </c>
      <c r="C3" s="12" t="s">
        <v>430</v>
      </c>
      <c r="D3" s="12" t="s">
        <v>54</v>
      </c>
      <c r="E3" s="12" t="s">
        <v>305</v>
      </c>
      <c r="F3" s="12" t="n">
        <v>14.88</v>
      </c>
      <c r="G3" s="12" t="s">
        <v>309</v>
      </c>
      <c r="H3" s="12" t="s">
        <v>62</v>
      </c>
      <c r="I3" s="12" t="s">
        <v>431</v>
      </c>
      <c r="J3" s="12" t="s">
        <v>432</v>
      </c>
      <c r="K3" s="12" t="s">
        <v>125</v>
      </c>
      <c r="L3" s="13" t="s">
        <v>70</v>
      </c>
    </row>
    <row r="4" customFormat="false" ht="15" hidden="false" customHeight="false" outlineLevel="0" collapsed="false">
      <c r="A4" s="14" t="s">
        <v>433</v>
      </c>
      <c r="B4" s="14" t="s">
        <v>429</v>
      </c>
      <c r="C4" s="14" t="s">
        <v>430</v>
      </c>
      <c r="D4" s="14" t="s">
        <v>54</v>
      </c>
      <c r="E4" s="14" t="s">
        <v>315</v>
      </c>
      <c r="F4" s="14" t="n">
        <v>14.88</v>
      </c>
      <c r="G4" s="14" t="s">
        <v>309</v>
      </c>
      <c r="H4" s="14" t="s">
        <v>62</v>
      </c>
      <c r="I4" s="14" t="s">
        <v>431</v>
      </c>
      <c r="J4" s="14" t="s">
        <v>432</v>
      </c>
      <c r="K4" s="14" t="s">
        <v>125</v>
      </c>
      <c r="L4" s="13" t="s">
        <v>70</v>
      </c>
    </row>
    <row r="5" customFormat="false" ht="15" hidden="false" customHeight="false" outlineLevel="0" collapsed="false">
      <c r="A5" s="12" t="s">
        <v>434</v>
      </c>
      <c r="B5" s="12" t="s">
        <v>429</v>
      </c>
      <c r="C5" s="12" t="s">
        <v>430</v>
      </c>
      <c r="D5" s="12" t="s">
        <v>54</v>
      </c>
      <c r="E5" s="12" t="s">
        <v>318</v>
      </c>
      <c r="F5" s="12" t="n">
        <v>14.88</v>
      </c>
      <c r="G5" s="12" t="s">
        <v>309</v>
      </c>
      <c r="H5" s="12" t="s">
        <v>62</v>
      </c>
      <c r="I5" s="12" t="s">
        <v>431</v>
      </c>
      <c r="J5" s="12" t="s">
        <v>432</v>
      </c>
      <c r="K5" s="12" t="s">
        <v>125</v>
      </c>
      <c r="L5" s="13" t="s">
        <v>70</v>
      </c>
    </row>
    <row r="6" customFormat="false" ht="15" hidden="false" customHeight="false" outlineLevel="0" collapsed="false">
      <c r="A6" s="14" t="s">
        <v>435</v>
      </c>
      <c r="B6" s="14" t="s">
        <v>429</v>
      </c>
      <c r="C6" s="14" t="s">
        <v>430</v>
      </c>
      <c r="D6" s="14" t="s">
        <v>71</v>
      </c>
      <c r="E6" s="14" t="s">
        <v>322</v>
      </c>
      <c r="F6" s="14" t="n">
        <v>9.6</v>
      </c>
      <c r="G6" s="14" t="s">
        <v>309</v>
      </c>
      <c r="H6" s="14" t="s">
        <v>62</v>
      </c>
      <c r="I6" s="14" t="s">
        <v>431</v>
      </c>
      <c r="J6" s="14" t="s">
        <v>432</v>
      </c>
      <c r="K6" s="14" t="s">
        <v>125</v>
      </c>
      <c r="L6" s="13" t="s">
        <v>70</v>
      </c>
    </row>
    <row r="7" customFormat="false" ht="15" hidden="false" customHeight="false" outlineLevel="0" collapsed="false">
      <c r="A7" s="12" t="s">
        <v>436</v>
      </c>
      <c r="B7" s="12" t="s">
        <v>429</v>
      </c>
      <c r="C7" s="12" t="s">
        <v>430</v>
      </c>
      <c r="D7" s="12" t="s">
        <v>71</v>
      </c>
      <c r="E7" s="12" t="s">
        <v>327</v>
      </c>
      <c r="F7" s="12" t="n">
        <v>11.4</v>
      </c>
      <c r="G7" s="12" t="s">
        <v>309</v>
      </c>
      <c r="H7" s="12" t="s">
        <v>62</v>
      </c>
      <c r="I7" s="12" t="s">
        <v>431</v>
      </c>
      <c r="J7" s="12" t="s">
        <v>432</v>
      </c>
      <c r="K7" s="12" t="s">
        <v>125</v>
      </c>
      <c r="L7" s="13" t="s">
        <v>70</v>
      </c>
    </row>
    <row r="8" customFormat="false" ht="15" hidden="false" customHeight="false" outlineLevel="0" collapsed="false">
      <c r="A8" s="14" t="s">
        <v>437</v>
      </c>
      <c r="B8" s="14" t="s">
        <v>429</v>
      </c>
      <c r="C8" s="14" t="s">
        <v>430</v>
      </c>
      <c r="D8" s="14" t="s">
        <v>77</v>
      </c>
      <c r="E8" s="14" t="s">
        <v>331</v>
      </c>
      <c r="F8" s="14" t="n">
        <v>28.44</v>
      </c>
      <c r="G8" s="14" t="s">
        <v>309</v>
      </c>
      <c r="H8" s="14" t="s">
        <v>62</v>
      </c>
      <c r="I8" s="14" t="s">
        <v>431</v>
      </c>
      <c r="J8" s="14" t="s">
        <v>432</v>
      </c>
      <c r="K8" s="14" t="s">
        <v>125</v>
      </c>
      <c r="L8" s="13" t="s">
        <v>70</v>
      </c>
    </row>
    <row r="9" customFormat="false" ht="15" hidden="false" customHeight="false" outlineLevel="0" collapsed="false">
      <c r="A9" s="12" t="s">
        <v>438</v>
      </c>
      <c r="B9" s="12" t="s">
        <v>429</v>
      </c>
      <c r="C9" s="12" t="s">
        <v>430</v>
      </c>
      <c r="D9" s="12" t="s">
        <v>77</v>
      </c>
      <c r="E9" s="12" t="s">
        <v>337</v>
      </c>
      <c r="F9" s="12" t="n">
        <v>24</v>
      </c>
      <c r="G9" s="12" t="s">
        <v>309</v>
      </c>
      <c r="H9" s="12" t="s">
        <v>62</v>
      </c>
      <c r="I9" s="12" t="s">
        <v>431</v>
      </c>
      <c r="J9" s="12" t="s">
        <v>432</v>
      </c>
      <c r="K9" s="12" t="s">
        <v>125</v>
      </c>
      <c r="L9" s="13" t="s">
        <v>70</v>
      </c>
    </row>
    <row r="10" customFormat="false" ht="15" hidden="false" customHeight="false" outlineLevel="0" collapsed="false">
      <c r="A10" s="14" t="s">
        <v>439</v>
      </c>
      <c r="B10" s="14" t="s">
        <v>429</v>
      </c>
      <c r="C10" s="14" t="s">
        <v>430</v>
      </c>
      <c r="D10" s="14" t="s">
        <v>77</v>
      </c>
      <c r="E10" s="14" t="s">
        <v>340</v>
      </c>
      <c r="F10" s="14" t="n">
        <v>32</v>
      </c>
      <c r="G10" s="14" t="s">
        <v>309</v>
      </c>
      <c r="H10" s="14" t="s">
        <v>62</v>
      </c>
      <c r="I10" s="14" t="s">
        <v>431</v>
      </c>
      <c r="J10" s="14" t="s">
        <v>432</v>
      </c>
      <c r="K10" s="14" t="s">
        <v>125</v>
      </c>
      <c r="L10" s="13" t="s">
        <v>70</v>
      </c>
    </row>
    <row r="11" customFormat="false" ht="15" hidden="false" customHeight="false" outlineLevel="0" collapsed="false">
      <c r="A11" s="12" t="s">
        <v>440</v>
      </c>
      <c r="B11" s="12" t="s">
        <v>429</v>
      </c>
      <c r="C11" s="12" t="s">
        <v>430</v>
      </c>
      <c r="D11" s="12" t="s">
        <v>77</v>
      </c>
      <c r="E11" s="12" t="s">
        <v>344</v>
      </c>
      <c r="F11" s="12" t="n">
        <v>18</v>
      </c>
      <c r="G11" s="12" t="s">
        <v>309</v>
      </c>
      <c r="H11" s="12" t="s">
        <v>62</v>
      </c>
      <c r="I11" s="12" t="s">
        <v>431</v>
      </c>
      <c r="J11" s="12" t="s">
        <v>432</v>
      </c>
      <c r="K11" s="12" t="s">
        <v>125</v>
      </c>
      <c r="L11" s="13" t="s">
        <v>70</v>
      </c>
    </row>
    <row r="12" customFormat="false" ht="15" hidden="false" customHeight="false" outlineLevel="0" collapsed="false">
      <c r="A12" s="14" t="s">
        <v>441</v>
      </c>
      <c r="B12" s="14" t="s">
        <v>429</v>
      </c>
      <c r="C12" s="14" t="s">
        <v>430</v>
      </c>
      <c r="D12" s="14" t="s">
        <v>82</v>
      </c>
      <c r="E12" s="14" t="s">
        <v>348</v>
      </c>
      <c r="F12" s="14" t="n">
        <v>42</v>
      </c>
      <c r="G12" s="14" t="s">
        <v>309</v>
      </c>
      <c r="H12" s="14" t="s">
        <v>62</v>
      </c>
      <c r="I12" s="14" t="s">
        <v>431</v>
      </c>
      <c r="J12" s="14" t="s">
        <v>432</v>
      </c>
      <c r="K12" s="14" t="s">
        <v>125</v>
      </c>
      <c r="L12" s="13" t="s">
        <v>70</v>
      </c>
    </row>
    <row r="13" customFormat="false" ht="15" hidden="false" customHeight="false" outlineLevel="0" collapsed="false">
      <c r="A13" s="12" t="s">
        <v>442</v>
      </c>
      <c r="B13" s="12" t="s">
        <v>429</v>
      </c>
      <c r="C13" s="12" t="s">
        <v>430</v>
      </c>
      <c r="D13" s="12" t="s">
        <v>82</v>
      </c>
      <c r="E13" s="12" t="s">
        <v>354</v>
      </c>
      <c r="F13" s="12" t="n">
        <v>82</v>
      </c>
      <c r="G13" s="12" t="s">
        <v>309</v>
      </c>
      <c r="H13" s="12" t="s">
        <v>62</v>
      </c>
      <c r="I13" s="12" t="s">
        <v>431</v>
      </c>
      <c r="J13" s="12" t="s">
        <v>432</v>
      </c>
      <c r="K13" s="12" t="s">
        <v>125</v>
      </c>
      <c r="L13" s="13" t="s">
        <v>70</v>
      </c>
    </row>
    <row r="14" customFormat="false" ht="15" hidden="false" customHeight="false" outlineLevel="0" collapsed="false">
      <c r="A14" s="14" t="s">
        <v>443</v>
      </c>
      <c r="B14" s="14" t="s">
        <v>429</v>
      </c>
      <c r="C14" s="14" t="s">
        <v>430</v>
      </c>
      <c r="D14" s="14" t="s">
        <v>89</v>
      </c>
      <c r="E14" s="14" t="s">
        <v>357</v>
      </c>
      <c r="F14" s="14" t="n">
        <v>19.2</v>
      </c>
      <c r="G14" s="14" t="s">
        <v>309</v>
      </c>
      <c r="H14" s="14" t="s">
        <v>62</v>
      </c>
      <c r="I14" s="14" t="s">
        <v>431</v>
      </c>
      <c r="J14" s="14" t="s">
        <v>432</v>
      </c>
      <c r="K14" s="14" t="s">
        <v>125</v>
      </c>
      <c r="L14" s="13" t="s">
        <v>70</v>
      </c>
    </row>
    <row r="15" customFormat="false" ht="15" hidden="false" customHeight="false" outlineLevel="0" collapsed="false">
      <c r="A15" s="12" t="s">
        <v>444</v>
      </c>
      <c r="B15" s="12" t="s">
        <v>429</v>
      </c>
      <c r="C15" s="12" t="s">
        <v>430</v>
      </c>
      <c r="D15" s="12" t="s">
        <v>94</v>
      </c>
      <c r="E15" s="12" t="s">
        <v>362</v>
      </c>
      <c r="F15" s="12" t="n">
        <v>8.96</v>
      </c>
      <c r="G15" s="12" t="s">
        <v>309</v>
      </c>
      <c r="H15" s="12" t="s">
        <v>62</v>
      </c>
      <c r="I15" s="12" t="s">
        <v>431</v>
      </c>
      <c r="J15" s="12" t="s">
        <v>432</v>
      </c>
      <c r="K15" s="12" t="s">
        <v>125</v>
      </c>
      <c r="L15" s="13" t="s">
        <v>70</v>
      </c>
    </row>
    <row r="16" customFormat="false" ht="15" hidden="false" customHeight="false" outlineLevel="0" collapsed="false">
      <c r="A16" s="14" t="s">
        <v>445</v>
      </c>
      <c r="B16" s="14" t="s">
        <v>429</v>
      </c>
      <c r="C16" s="14" t="s">
        <v>430</v>
      </c>
      <c r="D16" s="14" t="s">
        <v>94</v>
      </c>
      <c r="E16" s="14" t="s">
        <v>367</v>
      </c>
      <c r="F16" s="14" t="n">
        <v>17.5</v>
      </c>
      <c r="G16" s="14" t="s">
        <v>309</v>
      </c>
      <c r="H16" s="14" t="s">
        <v>62</v>
      </c>
      <c r="I16" s="14" t="s">
        <v>431</v>
      </c>
      <c r="J16" s="14" t="s">
        <v>432</v>
      </c>
      <c r="K16" s="14" t="s">
        <v>125</v>
      </c>
      <c r="L16" s="13" t="s">
        <v>70</v>
      </c>
    </row>
    <row r="17" customFormat="false" ht="15" hidden="false" customHeight="false" outlineLevel="0" collapsed="false">
      <c r="A17" s="12" t="s">
        <v>446</v>
      </c>
      <c r="B17" s="12" t="s">
        <v>429</v>
      </c>
      <c r="C17" s="12" t="s">
        <v>430</v>
      </c>
      <c r="D17" s="12" t="s">
        <v>99</v>
      </c>
      <c r="E17" s="12" t="s">
        <v>305</v>
      </c>
      <c r="F17" s="12" t="n">
        <v>14.88</v>
      </c>
      <c r="G17" s="12" t="s">
        <v>309</v>
      </c>
      <c r="H17" s="12" t="s">
        <v>62</v>
      </c>
      <c r="I17" s="12" t="s">
        <v>431</v>
      </c>
      <c r="J17" s="12" t="s">
        <v>432</v>
      </c>
      <c r="K17" s="12" t="s">
        <v>125</v>
      </c>
      <c r="L17" s="13" t="s">
        <v>70</v>
      </c>
    </row>
    <row r="18" customFormat="false" ht="15" hidden="false" customHeight="false" outlineLevel="0" collapsed="false">
      <c r="A18" s="14" t="s">
        <v>447</v>
      </c>
      <c r="B18" s="14" t="s">
        <v>429</v>
      </c>
      <c r="C18" s="14" t="s">
        <v>430</v>
      </c>
      <c r="D18" s="14" t="s">
        <v>99</v>
      </c>
      <c r="E18" s="14" t="s">
        <v>322</v>
      </c>
      <c r="F18" s="14" t="n">
        <v>9.6</v>
      </c>
      <c r="G18" s="14" t="s">
        <v>309</v>
      </c>
      <c r="H18" s="14" t="s">
        <v>62</v>
      </c>
      <c r="I18" s="14" t="s">
        <v>431</v>
      </c>
      <c r="J18" s="14" t="s">
        <v>432</v>
      </c>
      <c r="K18" s="14" t="s">
        <v>125</v>
      </c>
      <c r="L18" s="13" t="s">
        <v>70</v>
      </c>
    </row>
    <row r="19" customFormat="false" ht="15" hidden="false" customHeight="false" outlineLevel="0" collapsed="false">
      <c r="A19" s="12" t="s">
        <v>448</v>
      </c>
      <c r="B19" s="12" t="s">
        <v>429</v>
      </c>
      <c r="C19" s="12" t="s">
        <v>430</v>
      </c>
      <c r="D19" s="12" t="s">
        <v>104</v>
      </c>
      <c r="E19" s="12" t="s">
        <v>305</v>
      </c>
      <c r="F19" s="12" t="n">
        <v>14.88</v>
      </c>
      <c r="G19" s="12" t="s">
        <v>309</v>
      </c>
      <c r="H19" s="12" t="s">
        <v>62</v>
      </c>
      <c r="I19" s="12" t="s">
        <v>431</v>
      </c>
      <c r="J19" s="12" t="s">
        <v>432</v>
      </c>
      <c r="K19" s="12" t="s">
        <v>125</v>
      </c>
      <c r="L19" s="13" t="s">
        <v>70</v>
      </c>
    </row>
    <row r="20" customFormat="false" ht="15" hidden="false" customHeight="false" outlineLevel="0" collapsed="false">
      <c r="A20" s="14" t="s">
        <v>449</v>
      </c>
      <c r="B20" s="14" t="s">
        <v>429</v>
      </c>
      <c r="C20" s="14" t="s">
        <v>430</v>
      </c>
      <c r="D20" s="14" t="s">
        <v>108</v>
      </c>
      <c r="E20" s="14" t="s">
        <v>322</v>
      </c>
      <c r="F20" s="14" t="n">
        <v>9.6</v>
      </c>
      <c r="G20" s="14" t="s">
        <v>309</v>
      </c>
      <c r="H20" s="14" t="s">
        <v>62</v>
      </c>
      <c r="I20" s="14" t="s">
        <v>431</v>
      </c>
      <c r="J20" s="14" t="s">
        <v>432</v>
      </c>
      <c r="K20" s="14" t="s">
        <v>125</v>
      </c>
      <c r="L20" s="13" t="s">
        <v>70</v>
      </c>
    </row>
    <row r="21" customFormat="false" ht="15" hidden="false" customHeight="false" outlineLevel="0" collapsed="false">
      <c r="A21" s="12" t="s">
        <v>450</v>
      </c>
      <c r="B21" s="12" t="s">
        <v>429</v>
      </c>
      <c r="C21" s="12" t="s">
        <v>430</v>
      </c>
      <c r="D21" s="12" t="s">
        <v>112</v>
      </c>
      <c r="E21" s="12" t="s">
        <v>348</v>
      </c>
      <c r="F21" s="12" t="n">
        <v>42</v>
      </c>
      <c r="G21" s="12" t="s">
        <v>309</v>
      </c>
      <c r="H21" s="12" t="s">
        <v>62</v>
      </c>
      <c r="I21" s="12" t="s">
        <v>431</v>
      </c>
      <c r="J21" s="12" t="s">
        <v>432</v>
      </c>
      <c r="K21" s="12" t="s">
        <v>125</v>
      </c>
      <c r="L21" s="13" t="s">
        <v>70</v>
      </c>
    </row>
    <row r="22" customFormat="false" ht="15" hidden="false" customHeight="false" outlineLevel="0" collapsed="false">
      <c r="A22" s="14" t="s">
        <v>451</v>
      </c>
      <c r="B22" s="14" t="s">
        <v>429</v>
      </c>
      <c r="C22" s="14" t="s">
        <v>430</v>
      </c>
      <c r="D22" s="14" t="s">
        <v>115</v>
      </c>
      <c r="E22" s="14" t="s">
        <v>305</v>
      </c>
      <c r="F22" s="14" t="n">
        <v>14.88</v>
      </c>
      <c r="G22" s="14" t="s">
        <v>309</v>
      </c>
      <c r="H22" s="14" t="s">
        <v>62</v>
      </c>
      <c r="I22" s="14" t="s">
        <v>431</v>
      </c>
      <c r="J22" s="14" t="s">
        <v>432</v>
      </c>
      <c r="K22" s="14" t="s">
        <v>125</v>
      </c>
      <c r="L22" s="13" t="s">
        <v>70</v>
      </c>
    </row>
    <row r="23" customFormat="false" ht="15" hidden="false" customHeight="false" outlineLevel="0" collapsed="false">
      <c r="A23" s="12" t="s">
        <v>452</v>
      </c>
      <c r="B23" s="12" t="s">
        <v>429</v>
      </c>
      <c r="C23" s="12" t="s">
        <v>430</v>
      </c>
      <c r="D23" s="12" t="s">
        <v>119</v>
      </c>
      <c r="E23" s="12" t="s">
        <v>331</v>
      </c>
      <c r="F23" s="12" t="n">
        <v>28.44</v>
      </c>
      <c r="G23" s="12" t="s">
        <v>309</v>
      </c>
      <c r="H23" s="12" t="s">
        <v>62</v>
      </c>
      <c r="I23" s="12" t="s">
        <v>431</v>
      </c>
      <c r="J23" s="12" t="s">
        <v>432</v>
      </c>
      <c r="K23" s="12" t="s">
        <v>125</v>
      </c>
      <c r="L23" s="13" t="s">
        <v>70</v>
      </c>
    </row>
    <row r="24" customFormat="false" ht="15" hidden="false" customHeight="false" outlineLevel="0" collapsed="false">
      <c r="A24" s="14" t="s">
        <v>453</v>
      </c>
      <c r="B24" s="14" t="s">
        <v>429</v>
      </c>
      <c r="C24" s="14" t="s">
        <v>430</v>
      </c>
      <c r="D24" s="14" t="s">
        <v>119</v>
      </c>
      <c r="E24" s="14" t="s">
        <v>322</v>
      </c>
      <c r="F24" s="14" t="n">
        <v>9.6</v>
      </c>
      <c r="G24" s="14" t="s">
        <v>309</v>
      </c>
      <c r="H24" s="14" t="s">
        <v>62</v>
      </c>
      <c r="I24" s="14" t="s">
        <v>431</v>
      </c>
      <c r="J24" s="14" t="s">
        <v>432</v>
      </c>
      <c r="K24" s="14" t="s">
        <v>125</v>
      </c>
      <c r="L24" s="13" t="s">
        <v>70</v>
      </c>
    </row>
    <row r="25" customFormat="false" ht="15" hidden="false" customHeight="false" outlineLevel="0" collapsed="false">
      <c r="A25" s="12" t="s">
        <v>454</v>
      </c>
      <c r="B25" s="12" t="s">
        <v>429</v>
      </c>
      <c r="C25" s="12" t="s">
        <v>430</v>
      </c>
      <c r="D25" s="12" t="s">
        <v>123</v>
      </c>
      <c r="E25" s="12" t="s">
        <v>305</v>
      </c>
      <c r="F25" s="12" t="n">
        <v>14.88</v>
      </c>
      <c r="G25" s="12" t="s">
        <v>309</v>
      </c>
      <c r="H25" s="12" t="s">
        <v>62</v>
      </c>
      <c r="I25" s="12" t="s">
        <v>127</v>
      </c>
      <c r="J25" s="12" t="s">
        <v>432</v>
      </c>
      <c r="K25" s="12" t="s">
        <v>125</v>
      </c>
      <c r="L25" s="13" t="s">
        <v>70</v>
      </c>
    </row>
    <row r="26" customFormat="false" ht="15" hidden="false" customHeight="false" outlineLevel="0" collapsed="false">
      <c r="A26" s="14" t="s">
        <v>455</v>
      </c>
      <c r="B26" s="14" t="s">
        <v>429</v>
      </c>
      <c r="C26" s="14" t="s">
        <v>430</v>
      </c>
      <c r="D26" s="14" t="s">
        <v>123</v>
      </c>
      <c r="E26" s="14" t="s">
        <v>322</v>
      </c>
      <c r="F26" s="14" t="n">
        <v>9.6</v>
      </c>
      <c r="G26" s="14" t="s">
        <v>309</v>
      </c>
      <c r="H26" s="14" t="s">
        <v>62</v>
      </c>
      <c r="I26" s="14" t="s">
        <v>127</v>
      </c>
      <c r="J26" s="14" t="s">
        <v>432</v>
      </c>
      <c r="K26" s="14" t="s">
        <v>125</v>
      </c>
      <c r="L26" s="13" t="s">
        <v>70</v>
      </c>
    </row>
    <row r="27" customFormat="false" ht="15" hidden="false" customHeight="false" outlineLevel="0" collapsed="false">
      <c r="A27" s="12" t="s">
        <v>456</v>
      </c>
      <c r="B27" s="12" t="s">
        <v>429</v>
      </c>
      <c r="C27" s="12" t="s">
        <v>457</v>
      </c>
      <c r="D27" s="12" t="s">
        <v>54</v>
      </c>
      <c r="E27" s="12" t="s">
        <v>305</v>
      </c>
      <c r="F27" s="12" t="n">
        <v>13.2</v>
      </c>
      <c r="G27" s="12" t="s">
        <v>309</v>
      </c>
      <c r="H27" s="12" t="s">
        <v>62</v>
      </c>
      <c r="I27" s="12" t="s">
        <v>458</v>
      </c>
      <c r="J27" s="12" t="s">
        <v>459</v>
      </c>
      <c r="K27" s="12" t="s">
        <v>125</v>
      </c>
      <c r="L27" s="17" t="s">
        <v>460</v>
      </c>
    </row>
    <row r="28" customFormat="false" ht="15" hidden="false" customHeight="false" outlineLevel="0" collapsed="false">
      <c r="A28" s="14" t="s">
        <v>461</v>
      </c>
      <c r="B28" s="14" t="s">
        <v>429</v>
      </c>
      <c r="C28" s="14" t="s">
        <v>457</v>
      </c>
      <c r="D28" s="14" t="s">
        <v>54</v>
      </c>
      <c r="E28" s="14" t="s">
        <v>315</v>
      </c>
      <c r="F28" s="14" t="n">
        <v>13.2</v>
      </c>
      <c r="G28" s="14" t="s">
        <v>309</v>
      </c>
      <c r="H28" s="14" t="s">
        <v>62</v>
      </c>
      <c r="I28" s="14" t="s">
        <v>458</v>
      </c>
      <c r="J28" s="14" t="s">
        <v>459</v>
      </c>
      <c r="K28" s="14" t="s">
        <v>125</v>
      </c>
      <c r="L28" s="17" t="s">
        <v>460</v>
      </c>
    </row>
    <row r="29" customFormat="false" ht="15" hidden="false" customHeight="false" outlineLevel="0" collapsed="false">
      <c r="A29" s="12" t="s">
        <v>462</v>
      </c>
      <c r="B29" s="12" t="s">
        <v>429</v>
      </c>
      <c r="C29" s="12" t="s">
        <v>457</v>
      </c>
      <c r="D29" s="12" t="s">
        <v>119</v>
      </c>
      <c r="E29" s="12" t="s">
        <v>331</v>
      </c>
      <c r="F29" s="12" t="n">
        <v>22</v>
      </c>
      <c r="G29" s="12" t="s">
        <v>309</v>
      </c>
      <c r="H29" s="12" t="s">
        <v>62</v>
      </c>
      <c r="I29" s="12" t="s">
        <v>463</v>
      </c>
      <c r="J29" s="12" t="s">
        <v>459</v>
      </c>
      <c r="K29" s="12" t="s">
        <v>125</v>
      </c>
      <c r="L29" s="17" t="s">
        <v>460</v>
      </c>
    </row>
    <row r="30" customFormat="false" ht="15" hidden="false" customHeight="false" outlineLevel="0" collapsed="false">
      <c r="A30" s="14" t="s">
        <v>464</v>
      </c>
      <c r="B30" s="14" t="s">
        <v>429</v>
      </c>
      <c r="C30" s="14" t="s">
        <v>465</v>
      </c>
      <c r="D30" s="14" t="s">
        <v>71</v>
      </c>
      <c r="E30" s="14" t="s">
        <v>327</v>
      </c>
      <c r="F30" s="14" t="n">
        <v>10</v>
      </c>
      <c r="G30" s="14" t="s">
        <v>309</v>
      </c>
      <c r="H30" s="14" t="s">
        <v>62</v>
      </c>
      <c r="I30" s="14" t="s">
        <v>466</v>
      </c>
      <c r="J30" s="14" t="s">
        <v>467</v>
      </c>
      <c r="K30" s="14" t="s">
        <v>125</v>
      </c>
      <c r="L30" s="17" t="s">
        <v>460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10" t="s">
        <v>468</v>
      </c>
      <c r="B1" s="10"/>
      <c r="C1" s="10"/>
      <c r="D1" s="10"/>
      <c r="E1" s="10"/>
      <c r="F1" s="10"/>
    </row>
    <row r="2" customFormat="false" ht="36" hidden="false" customHeight="true" outlineLevel="0" collapsed="false">
      <c r="A2" s="11" t="s">
        <v>469</v>
      </c>
      <c r="B2" s="11" t="s">
        <v>470</v>
      </c>
      <c r="C2" s="11" t="s">
        <v>471</v>
      </c>
      <c r="D2" s="11" t="s">
        <v>472</v>
      </c>
      <c r="E2" s="11" t="s">
        <v>473</v>
      </c>
      <c r="F2" s="11" t="s">
        <v>474</v>
      </c>
    </row>
    <row r="3" customFormat="false" ht="22.35" hidden="false" customHeight="false" outlineLevel="0" collapsed="false">
      <c r="A3" s="18" t="s">
        <v>63</v>
      </c>
      <c r="B3" s="18" t="s">
        <v>475</v>
      </c>
      <c r="C3" s="18" t="n">
        <v>0</v>
      </c>
      <c r="D3" s="18" t="n">
        <v>0</v>
      </c>
      <c r="E3" s="18" t="n">
        <v>30</v>
      </c>
      <c r="F3" s="18" t="s">
        <v>476</v>
      </c>
    </row>
    <row r="4" customFormat="false" ht="15" hidden="false" customHeight="false" outlineLevel="0" collapsed="false">
      <c r="A4" s="19" t="s">
        <v>74</v>
      </c>
      <c r="B4" s="19" t="s">
        <v>477</v>
      </c>
      <c r="C4" s="19" t="n">
        <v>0</v>
      </c>
      <c r="D4" s="19" t="n">
        <v>0</v>
      </c>
      <c r="E4" s="19" t="n">
        <v>45</v>
      </c>
      <c r="F4" s="19" t="s">
        <v>478</v>
      </c>
    </row>
    <row r="5" customFormat="false" ht="15" hidden="false" customHeight="false" outlineLevel="0" collapsed="false">
      <c r="A5" s="18" t="s">
        <v>479</v>
      </c>
      <c r="B5" s="18" t="s">
        <v>480</v>
      </c>
      <c r="C5" s="18" t="n">
        <v>10</v>
      </c>
      <c r="D5" s="18" t="n">
        <v>2</v>
      </c>
      <c r="E5" s="18" t="n">
        <v>30</v>
      </c>
      <c r="F5" s="18" t="s">
        <v>481</v>
      </c>
    </row>
    <row r="6" customFormat="false" ht="15" hidden="false" customHeight="false" outlineLevel="0" collapsed="false">
      <c r="A6" s="19" t="s">
        <v>482</v>
      </c>
      <c r="B6" s="19" t="s">
        <v>483</v>
      </c>
      <c r="C6" s="19" t="n">
        <v>0</v>
      </c>
      <c r="D6" s="19" t="n">
        <v>0</v>
      </c>
      <c r="E6" s="19" t="n">
        <v>60</v>
      </c>
      <c r="F6" s="19" t="s">
        <v>99</v>
      </c>
    </row>
    <row r="7" customFormat="false" ht="15" hidden="false" customHeight="false" outlineLevel="0" collapsed="false">
      <c r="A7" s="18" t="s">
        <v>484</v>
      </c>
      <c r="B7" s="18" t="s">
        <v>485</v>
      </c>
      <c r="C7" s="18" t="n">
        <v>0</v>
      </c>
      <c r="D7" s="18" t="n">
        <v>0</v>
      </c>
      <c r="E7" s="18" t="n">
        <v>0</v>
      </c>
      <c r="F7" s="18" t="s">
        <v>486</v>
      </c>
    </row>
    <row r="8" customFormat="false" ht="15" hidden="false" customHeight="false" outlineLevel="0" collapsed="false">
      <c r="A8" s="19" t="s">
        <v>487</v>
      </c>
      <c r="B8" s="19" t="s">
        <v>488</v>
      </c>
      <c r="C8" s="19" t="n">
        <v>0</v>
      </c>
      <c r="D8" s="19" t="n">
        <v>0</v>
      </c>
      <c r="E8" s="19" t="n">
        <v>0</v>
      </c>
      <c r="F8" s="19" t="s">
        <v>489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8"/>
    <col collapsed="false" customWidth="true" hidden="false" outlineLevel="0" max="7" min="7" style="0" width="16"/>
    <col collapsed="false" customWidth="true" hidden="false" outlineLevel="0" max="8" min="8" style="0" width="45"/>
  </cols>
  <sheetData>
    <row r="1" customFormat="false" ht="27.75" hidden="false" customHeight="true" outlineLevel="0" collapsed="false">
      <c r="A1" s="10" t="s">
        <v>490</v>
      </c>
      <c r="B1" s="10"/>
      <c r="C1" s="10"/>
      <c r="D1" s="10"/>
      <c r="E1" s="10"/>
      <c r="F1" s="10"/>
      <c r="G1" s="10"/>
      <c r="H1" s="10"/>
    </row>
    <row r="2" customFormat="false" ht="36" hidden="false" customHeight="true" outlineLevel="0" collapsed="false">
      <c r="A2" s="11" t="s">
        <v>421</v>
      </c>
      <c r="B2" s="11" t="s">
        <v>491</v>
      </c>
      <c r="C2" s="11" t="s">
        <v>492</v>
      </c>
      <c r="D2" s="11" t="s">
        <v>493</v>
      </c>
      <c r="E2" s="11" t="s">
        <v>494</v>
      </c>
      <c r="F2" s="11" t="s">
        <v>495</v>
      </c>
      <c r="G2" s="11" t="s">
        <v>496</v>
      </c>
      <c r="H2" s="11" t="s">
        <v>377</v>
      </c>
    </row>
    <row r="3" customFormat="false" ht="15" hidden="false" customHeight="false" outlineLevel="0" collapsed="false">
      <c r="A3" s="12" t="s">
        <v>305</v>
      </c>
      <c r="B3" s="12" t="s">
        <v>308</v>
      </c>
      <c r="C3" s="12" t="s">
        <v>309</v>
      </c>
      <c r="D3" s="12" t="n">
        <v>12</v>
      </c>
      <c r="E3" s="12" t="n">
        <v>1</v>
      </c>
      <c r="F3" s="12" t="n">
        <f aca="false">D3/E3</f>
        <v>12</v>
      </c>
      <c r="G3" s="12"/>
      <c r="H3" s="12" t="s">
        <v>497</v>
      </c>
    </row>
    <row r="4" customFormat="false" ht="15" hidden="false" customHeight="false" outlineLevel="0" collapsed="false">
      <c r="A4" s="14" t="s">
        <v>305</v>
      </c>
      <c r="B4" s="14" t="s">
        <v>309</v>
      </c>
      <c r="C4" s="14" t="s">
        <v>498</v>
      </c>
      <c r="D4" s="14" t="n">
        <v>72</v>
      </c>
      <c r="E4" s="14" t="n">
        <v>1</v>
      </c>
      <c r="F4" s="14" t="n">
        <f aca="false">D4/E4</f>
        <v>72</v>
      </c>
      <c r="G4" s="14"/>
      <c r="H4" s="14" t="s">
        <v>499</v>
      </c>
    </row>
    <row r="5" customFormat="false" ht="15" hidden="false" customHeight="false" outlineLevel="0" collapsed="false">
      <c r="A5" s="12" t="s">
        <v>315</v>
      </c>
      <c r="B5" s="12" t="s">
        <v>308</v>
      </c>
      <c r="C5" s="12" t="s">
        <v>309</v>
      </c>
      <c r="D5" s="12" t="n">
        <v>12</v>
      </c>
      <c r="E5" s="12" t="n">
        <v>1</v>
      </c>
      <c r="F5" s="12" t="n">
        <f aca="false">D5/E5</f>
        <v>12</v>
      </c>
      <c r="G5" s="12"/>
      <c r="H5" s="12" t="s">
        <v>500</v>
      </c>
    </row>
    <row r="6" customFormat="false" ht="15" hidden="false" customHeight="false" outlineLevel="0" collapsed="false">
      <c r="A6" s="14" t="s">
        <v>315</v>
      </c>
      <c r="B6" s="14" t="s">
        <v>309</v>
      </c>
      <c r="C6" s="14" t="s">
        <v>498</v>
      </c>
      <c r="D6" s="14" t="n">
        <v>72</v>
      </c>
      <c r="E6" s="14" t="n">
        <v>1</v>
      </c>
      <c r="F6" s="14" t="n">
        <f aca="false">D6/E6</f>
        <v>72</v>
      </c>
      <c r="G6" s="14"/>
      <c r="H6" s="14"/>
    </row>
    <row r="7" customFormat="false" ht="15" hidden="false" customHeight="false" outlineLevel="0" collapsed="false">
      <c r="A7" s="12" t="s">
        <v>318</v>
      </c>
      <c r="B7" s="12" t="s">
        <v>308</v>
      </c>
      <c r="C7" s="12" t="s">
        <v>309</v>
      </c>
      <c r="D7" s="12" t="n">
        <v>12</v>
      </c>
      <c r="E7" s="12" t="n">
        <v>1</v>
      </c>
      <c r="F7" s="12" t="n">
        <f aca="false">D7/E7</f>
        <v>12</v>
      </c>
      <c r="G7" s="12"/>
      <c r="H7" s="12"/>
    </row>
    <row r="8" customFormat="false" ht="15" hidden="false" customHeight="false" outlineLevel="0" collapsed="false">
      <c r="A8" s="14" t="s">
        <v>322</v>
      </c>
      <c r="B8" s="14" t="s">
        <v>308</v>
      </c>
      <c r="C8" s="14" t="s">
        <v>309</v>
      </c>
      <c r="D8" s="14" t="n">
        <v>24</v>
      </c>
      <c r="E8" s="14" t="n">
        <v>1</v>
      </c>
      <c r="F8" s="14" t="n">
        <f aca="false">D8/E8</f>
        <v>24</v>
      </c>
      <c r="G8" s="14"/>
      <c r="H8" s="14" t="s">
        <v>501</v>
      </c>
    </row>
    <row r="9" customFormat="false" ht="15" hidden="false" customHeight="false" outlineLevel="0" collapsed="false">
      <c r="A9" s="12" t="s">
        <v>322</v>
      </c>
      <c r="B9" s="12" t="s">
        <v>309</v>
      </c>
      <c r="C9" s="12" t="s">
        <v>498</v>
      </c>
      <c r="D9" s="12" t="n">
        <v>56</v>
      </c>
      <c r="E9" s="12" t="n">
        <v>1</v>
      </c>
      <c r="F9" s="12" t="n">
        <f aca="false">D9/E9</f>
        <v>56</v>
      </c>
      <c r="G9" s="12"/>
      <c r="H9" s="12" t="s">
        <v>502</v>
      </c>
    </row>
    <row r="10" customFormat="false" ht="15" hidden="false" customHeight="false" outlineLevel="0" collapsed="false">
      <c r="A10" s="14" t="s">
        <v>327</v>
      </c>
      <c r="B10" s="14" t="s">
        <v>308</v>
      </c>
      <c r="C10" s="14" t="s">
        <v>309</v>
      </c>
      <c r="D10" s="14" t="n">
        <v>12</v>
      </c>
      <c r="E10" s="14" t="n">
        <v>1</v>
      </c>
      <c r="F10" s="14" t="n">
        <f aca="false">D10/E10</f>
        <v>12</v>
      </c>
      <c r="G10" s="14"/>
      <c r="H10" s="14"/>
    </row>
    <row r="11" customFormat="false" ht="15" hidden="false" customHeight="false" outlineLevel="0" collapsed="false">
      <c r="A11" s="12" t="s">
        <v>331</v>
      </c>
      <c r="B11" s="12" t="s">
        <v>308</v>
      </c>
      <c r="C11" s="12" t="s">
        <v>309</v>
      </c>
      <c r="D11" s="12" t="n">
        <v>48</v>
      </c>
      <c r="E11" s="12" t="n">
        <v>1</v>
      </c>
      <c r="F11" s="12" t="n">
        <f aca="false">D11/E11</f>
        <v>48</v>
      </c>
      <c r="G11" s="12"/>
      <c r="H11" s="12" t="s">
        <v>503</v>
      </c>
    </row>
    <row r="12" customFormat="false" ht="15" hidden="false" customHeight="false" outlineLevel="0" collapsed="false">
      <c r="A12" s="14" t="s">
        <v>331</v>
      </c>
      <c r="B12" s="14" t="s">
        <v>309</v>
      </c>
      <c r="C12" s="14" t="s">
        <v>498</v>
      </c>
      <c r="D12" s="14" t="n">
        <v>60</v>
      </c>
      <c r="E12" s="14" t="n">
        <v>1</v>
      </c>
      <c r="F12" s="14" t="n">
        <f aca="false">D12/E12</f>
        <v>60</v>
      </c>
      <c r="G12" s="14"/>
      <c r="H12" s="14"/>
    </row>
    <row r="13" customFormat="false" ht="15" hidden="false" customHeight="false" outlineLevel="0" collapsed="false">
      <c r="A13" s="12" t="s">
        <v>337</v>
      </c>
      <c r="B13" s="12" t="s">
        <v>308</v>
      </c>
      <c r="C13" s="12" t="s">
        <v>309</v>
      </c>
      <c r="D13" s="12" t="n">
        <v>36</v>
      </c>
      <c r="E13" s="12" t="n">
        <v>1</v>
      </c>
      <c r="F13" s="12" t="n">
        <f aca="false">D13/E13</f>
        <v>36</v>
      </c>
      <c r="G13" s="12"/>
      <c r="H13" s="12"/>
    </row>
    <row r="14" customFormat="false" ht="15" hidden="false" customHeight="false" outlineLevel="0" collapsed="false">
      <c r="A14" s="14" t="s">
        <v>340</v>
      </c>
      <c r="B14" s="14" t="s">
        <v>308</v>
      </c>
      <c r="C14" s="14" t="s">
        <v>309</v>
      </c>
      <c r="D14" s="14" t="n">
        <v>60</v>
      </c>
      <c r="E14" s="14" t="n">
        <v>1</v>
      </c>
      <c r="F14" s="14" t="n">
        <f aca="false">D14/E14</f>
        <v>60</v>
      </c>
      <c r="G14" s="14"/>
      <c r="H14" s="14"/>
    </row>
    <row r="15" customFormat="false" ht="15" hidden="false" customHeight="false" outlineLevel="0" collapsed="false">
      <c r="A15" s="20" t="s">
        <v>344</v>
      </c>
      <c r="B15" s="20" t="s">
        <v>308</v>
      </c>
      <c r="C15" s="20" t="s">
        <v>309</v>
      </c>
      <c r="D15" s="20" t="n">
        <v>24</v>
      </c>
      <c r="E15" s="20" t="n">
        <v>1</v>
      </c>
      <c r="F15" s="20" t="n">
        <f aca="false">D15/E15</f>
        <v>24</v>
      </c>
      <c r="G15" s="20"/>
      <c r="H15" s="20" t="s">
        <v>504</v>
      </c>
    </row>
    <row r="16" customFormat="false" ht="15" hidden="false" customHeight="false" outlineLevel="0" collapsed="false">
      <c r="A16" s="14" t="s">
        <v>344</v>
      </c>
      <c r="B16" s="14" t="s">
        <v>309</v>
      </c>
      <c r="C16" s="14" t="s">
        <v>498</v>
      </c>
      <c r="D16" s="14" t="n">
        <v>80</v>
      </c>
      <c r="E16" s="14" t="n">
        <v>1</v>
      </c>
      <c r="F16" s="14" t="n">
        <f aca="false">D16/E16</f>
        <v>80</v>
      </c>
      <c r="G16" s="14"/>
      <c r="H16" s="14"/>
    </row>
    <row r="17" customFormat="false" ht="15" hidden="false" customHeight="false" outlineLevel="0" collapsed="false">
      <c r="A17" s="12" t="s">
        <v>348</v>
      </c>
      <c r="B17" s="12" t="s">
        <v>309</v>
      </c>
      <c r="C17" s="12" t="s">
        <v>498</v>
      </c>
      <c r="D17" s="12" t="n">
        <v>24</v>
      </c>
      <c r="E17" s="12" t="n">
        <v>1</v>
      </c>
      <c r="F17" s="12" t="n">
        <f aca="false">D17/E17</f>
        <v>24</v>
      </c>
      <c r="G17" s="12"/>
      <c r="H17" s="12" t="s">
        <v>505</v>
      </c>
    </row>
    <row r="18" customFormat="false" ht="15" hidden="false" customHeight="false" outlineLevel="0" collapsed="false">
      <c r="A18" s="14" t="s">
        <v>354</v>
      </c>
      <c r="B18" s="14" t="s">
        <v>309</v>
      </c>
      <c r="C18" s="14" t="s">
        <v>498</v>
      </c>
      <c r="D18" s="14" t="n">
        <v>12</v>
      </c>
      <c r="E18" s="14" t="n">
        <v>1</v>
      </c>
      <c r="F18" s="14" t="n">
        <f aca="false">D18/E18</f>
        <v>12</v>
      </c>
      <c r="G18" s="14"/>
      <c r="H18" s="14" t="s">
        <v>506</v>
      </c>
    </row>
    <row r="19" customFormat="false" ht="15" hidden="false" customHeight="false" outlineLevel="0" collapsed="false">
      <c r="A19" s="12" t="s">
        <v>357</v>
      </c>
      <c r="B19" s="12" t="s">
        <v>308</v>
      </c>
      <c r="C19" s="12" t="s">
        <v>309</v>
      </c>
      <c r="D19" s="12" t="n">
        <v>12</v>
      </c>
      <c r="E19" s="12" t="n">
        <v>1</v>
      </c>
      <c r="F19" s="12" t="n">
        <f aca="false">D19/E19</f>
        <v>12</v>
      </c>
      <c r="G19" s="12"/>
      <c r="H19" s="12" t="s">
        <v>507</v>
      </c>
    </row>
    <row r="20" customFormat="false" ht="15" hidden="false" customHeight="false" outlineLevel="0" collapsed="false">
      <c r="A20" s="14" t="s">
        <v>362</v>
      </c>
      <c r="B20" s="14" t="s">
        <v>308</v>
      </c>
      <c r="C20" s="14" t="s">
        <v>309</v>
      </c>
      <c r="D20" s="14" t="n">
        <v>24</v>
      </c>
      <c r="E20" s="14" t="n">
        <v>1</v>
      </c>
      <c r="F20" s="14" t="n">
        <f aca="false">D20/E20</f>
        <v>24</v>
      </c>
      <c r="G20" s="14"/>
      <c r="H20" s="14" t="s">
        <v>508</v>
      </c>
    </row>
    <row r="21" customFormat="false" ht="15" hidden="false" customHeight="false" outlineLevel="0" collapsed="false">
      <c r="A21" s="12" t="s">
        <v>367</v>
      </c>
      <c r="B21" s="12" t="s">
        <v>308</v>
      </c>
      <c r="C21" s="12" t="s">
        <v>309</v>
      </c>
      <c r="D21" s="12" t="n">
        <v>12</v>
      </c>
      <c r="E21" s="12" t="n">
        <v>1</v>
      </c>
      <c r="F21" s="12" t="n">
        <f aca="false">D21/E21</f>
        <v>12</v>
      </c>
      <c r="G21" s="12"/>
      <c r="H21" s="12" t="s">
        <v>509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10" min="8" style="0" width="8"/>
    <col collapsed="false" customWidth="true" hidden="false" outlineLevel="0" max="12" min="11" style="0" width="12"/>
    <col collapsed="false" customWidth="true" hidden="false" outlineLevel="0" max="14" min="13" style="0" width="8"/>
  </cols>
  <sheetData>
    <row r="1" customFormat="false" ht="27.75" hidden="false" customHeight="true" outlineLevel="0" collapsed="false">
      <c r="A1" s="10" t="s">
        <v>510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36" hidden="false" customHeight="true" outlineLevel="0" collapsed="false">
      <c r="A2" s="11" t="s">
        <v>511</v>
      </c>
      <c r="B2" s="11" t="s">
        <v>420</v>
      </c>
      <c r="C2" s="11" t="s">
        <v>512</v>
      </c>
      <c r="D2" s="11" t="s">
        <v>513</v>
      </c>
      <c r="E2" s="11" t="s">
        <v>514</v>
      </c>
      <c r="F2" s="11" t="s">
        <v>421</v>
      </c>
      <c r="G2" s="11" t="s">
        <v>290</v>
      </c>
      <c r="H2" s="11" t="s">
        <v>515</v>
      </c>
      <c r="I2" s="11" t="s">
        <v>516</v>
      </c>
      <c r="J2" s="11" t="s">
        <v>517</v>
      </c>
      <c r="K2" s="11" t="s">
        <v>518</v>
      </c>
      <c r="L2" s="11" t="s">
        <v>519</v>
      </c>
      <c r="M2" s="11" t="s">
        <v>520</v>
      </c>
      <c r="N2" s="11" t="s">
        <v>521</v>
      </c>
    </row>
    <row r="3" customFormat="false" ht="15" hidden="false" customHeight="false" outlineLevel="0" collapsed="false">
      <c r="A3" s="12" t="s">
        <v>522</v>
      </c>
      <c r="B3" s="12" t="s">
        <v>54</v>
      </c>
      <c r="C3" s="12" t="s">
        <v>523</v>
      </c>
      <c r="D3" s="12" t="s">
        <v>524</v>
      </c>
      <c r="E3" s="12" t="s">
        <v>525</v>
      </c>
      <c r="F3" s="12" t="s">
        <v>305</v>
      </c>
      <c r="G3" s="12" t="s">
        <v>526</v>
      </c>
      <c r="H3" s="12" t="n">
        <v>240</v>
      </c>
      <c r="I3" s="21" t="n">
        <v>14.88</v>
      </c>
      <c r="J3" s="12" t="s">
        <v>62</v>
      </c>
      <c r="K3" s="21" t="n">
        <f aca="false">H3*I3</f>
        <v>3571.2</v>
      </c>
      <c r="L3" s="12" t="s">
        <v>527</v>
      </c>
      <c r="M3" s="12" t="s">
        <v>125</v>
      </c>
      <c r="N3" s="12" t="s">
        <v>125</v>
      </c>
    </row>
    <row r="4" customFormat="false" ht="15" hidden="false" customHeight="false" outlineLevel="0" collapsed="false">
      <c r="A4" s="14" t="s">
        <v>522</v>
      </c>
      <c r="B4" s="14" t="s">
        <v>54</v>
      </c>
      <c r="C4" s="14" t="s">
        <v>523</v>
      </c>
      <c r="D4" s="14" t="s">
        <v>524</v>
      </c>
      <c r="E4" s="14" t="s">
        <v>525</v>
      </c>
      <c r="F4" s="14" t="s">
        <v>315</v>
      </c>
      <c r="G4" s="14" t="s">
        <v>528</v>
      </c>
      <c r="H4" s="14" t="n">
        <v>120</v>
      </c>
      <c r="I4" s="22" t="n">
        <v>14.88</v>
      </c>
      <c r="J4" s="14" t="s">
        <v>62</v>
      </c>
      <c r="K4" s="22" t="n">
        <f aca="false">H4*I4</f>
        <v>1785.6</v>
      </c>
      <c r="L4" s="14" t="s">
        <v>527</v>
      </c>
      <c r="M4" s="14" t="s">
        <v>125</v>
      </c>
      <c r="N4" s="14" t="s">
        <v>125</v>
      </c>
    </row>
    <row r="5" customFormat="false" ht="15" hidden="false" customHeight="false" outlineLevel="0" collapsed="false">
      <c r="A5" s="12" t="s">
        <v>529</v>
      </c>
      <c r="B5" s="12" t="s">
        <v>54</v>
      </c>
      <c r="C5" s="12" t="s">
        <v>530</v>
      </c>
      <c r="D5" s="12" t="s">
        <v>531</v>
      </c>
      <c r="E5" s="12" t="s">
        <v>532</v>
      </c>
      <c r="F5" s="12" t="s">
        <v>305</v>
      </c>
      <c r="G5" s="12" t="s">
        <v>526</v>
      </c>
      <c r="H5" s="12" t="n">
        <v>260</v>
      </c>
      <c r="I5" s="21" t="n">
        <v>14.88</v>
      </c>
      <c r="J5" s="12" t="s">
        <v>62</v>
      </c>
      <c r="K5" s="21" t="n">
        <f aca="false">H5*I5</f>
        <v>3868.8</v>
      </c>
      <c r="L5" s="12" t="s">
        <v>533</v>
      </c>
      <c r="M5" s="12" t="s">
        <v>125</v>
      </c>
      <c r="N5" s="12" t="s">
        <v>125</v>
      </c>
    </row>
    <row r="6" customFormat="false" ht="15" hidden="false" customHeight="false" outlineLevel="0" collapsed="false">
      <c r="A6" s="14" t="s">
        <v>534</v>
      </c>
      <c r="B6" s="14" t="s">
        <v>54</v>
      </c>
      <c r="C6" s="14" t="s">
        <v>535</v>
      </c>
      <c r="D6" s="14" t="s">
        <v>536</v>
      </c>
      <c r="E6" s="14" t="s">
        <v>537</v>
      </c>
      <c r="F6" s="14" t="s">
        <v>305</v>
      </c>
      <c r="G6" s="14" t="s">
        <v>526</v>
      </c>
      <c r="H6" s="14" t="n">
        <v>240</v>
      </c>
      <c r="I6" s="22" t="n">
        <v>14.88</v>
      </c>
      <c r="J6" s="14" t="s">
        <v>62</v>
      </c>
      <c r="K6" s="22" t="n">
        <f aca="false">H6*I6</f>
        <v>3571.2</v>
      </c>
      <c r="L6" s="14" t="s">
        <v>538</v>
      </c>
      <c r="M6" s="14" t="s">
        <v>125</v>
      </c>
      <c r="N6" s="14" t="s">
        <v>125</v>
      </c>
    </row>
    <row r="7" customFormat="false" ht="15" hidden="false" customHeight="false" outlineLevel="0" collapsed="false">
      <c r="A7" s="12" t="s">
        <v>534</v>
      </c>
      <c r="B7" s="12" t="s">
        <v>54</v>
      </c>
      <c r="C7" s="12" t="s">
        <v>535</v>
      </c>
      <c r="D7" s="12" t="s">
        <v>536</v>
      </c>
      <c r="E7" s="12" t="s">
        <v>537</v>
      </c>
      <c r="F7" s="12" t="s">
        <v>318</v>
      </c>
      <c r="G7" s="12" t="s">
        <v>539</v>
      </c>
      <c r="H7" s="12" t="n">
        <v>96</v>
      </c>
      <c r="I7" s="21" t="n">
        <v>14.88</v>
      </c>
      <c r="J7" s="12" t="s">
        <v>62</v>
      </c>
      <c r="K7" s="21" t="n">
        <f aca="false">H7*I7</f>
        <v>1428.48</v>
      </c>
      <c r="L7" s="12" t="s">
        <v>538</v>
      </c>
      <c r="M7" s="12" t="s">
        <v>125</v>
      </c>
      <c r="N7" s="12" t="s">
        <v>125</v>
      </c>
    </row>
    <row r="8" customFormat="false" ht="15" hidden="false" customHeight="false" outlineLevel="0" collapsed="false">
      <c r="A8" s="14" t="s">
        <v>540</v>
      </c>
      <c r="B8" s="14" t="s">
        <v>54</v>
      </c>
      <c r="C8" s="14" t="s">
        <v>541</v>
      </c>
      <c r="D8" s="14" t="s">
        <v>542</v>
      </c>
      <c r="E8" s="14" t="s">
        <v>543</v>
      </c>
      <c r="F8" s="14" t="s">
        <v>305</v>
      </c>
      <c r="G8" s="14" t="s">
        <v>526</v>
      </c>
      <c r="H8" s="14" t="n">
        <v>220</v>
      </c>
      <c r="I8" s="22" t="n">
        <v>14.88</v>
      </c>
      <c r="J8" s="14" t="s">
        <v>62</v>
      </c>
      <c r="K8" s="22" t="n">
        <f aca="false">H8*I8</f>
        <v>3273.6</v>
      </c>
      <c r="L8" s="14" t="s">
        <v>544</v>
      </c>
      <c r="M8" s="14" t="s">
        <v>125</v>
      </c>
      <c r="N8" s="14" t="s">
        <v>125</v>
      </c>
    </row>
    <row r="9" customFormat="false" ht="15" hidden="false" customHeight="false" outlineLevel="0" collapsed="false">
      <c r="A9" s="12" t="s">
        <v>545</v>
      </c>
      <c r="B9" s="12" t="s">
        <v>54</v>
      </c>
      <c r="C9" s="12" t="s">
        <v>546</v>
      </c>
      <c r="D9" s="12" t="s">
        <v>547</v>
      </c>
      <c r="E9" s="12" t="s">
        <v>548</v>
      </c>
      <c r="F9" s="12" t="s">
        <v>305</v>
      </c>
      <c r="G9" s="12" t="s">
        <v>526</v>
      </c>
      <c r="H9" s="12" t="n">
        <v>250</v>
      </c>
      <c r="I9" s="21" t="n">
        <v>14.88</v>
      </c>
      <c r="J9" s="12" t="s">
        <v>62</v>
      </c>
      <c r="K9" s="21" t="n">
        <f aca="false">H9*I9</f>
        <v>3720</v>
      </c>
      <c r="L9" s="12" t="s">
        <v>549</v>
      </c>
      <c r="M9" s="12" t="s">
        <v>125</v>
      </c>
      <c r="N9" s="12" t="s">
        <v>125</v>
      </c>
    </row>
    <row r="10" customFormat="false" ht="15" hidden="false" customHeight="false" outlineLevel="0" collapsed="false">
      <c r="A10" s="14" t="s">
        <v>545</v>
      </c>
      <c r="B10" s="14" t="s">
        <v>54</v>
      </c>
      <c r="C10" s="14" t="s">
        <v>546</v>
      </c>
      <c r="D10" s="14" t="s">
        <v>547</v>
      </c>
      <c r="E10" s="14" t="s">
        <v>548</v>
      </c>
      <c r="F10" s="14" t="s">
        <v>315</v>
      </c>
      <c r="G10" s="14" t="s">
        <v>528</v>
      </c>
      <c r="H10" s="14" t="n">
        <v>110</v>
      </c>
      <c r="I10" s="22" t="n">
        <v>14.88</v>
      </c>
      <c r="J10" s="14" t="s">
        <v>62</v>
      </c>
      <c r="K10" s="22" t="n">
        <f aca="false">H10*I10</f>
        <v>1636.8</v>
      </c>
      <c r="L10" s="14" t="s">
        <v>549</v>
      </c>
      <c r="M10" s="14" t="s">
        <v>125</v>
      </c>
      <c r="N10" s="14" t="s">
        <v>125</v>
      </c>
    </row>
    <row r="11" customFormat="false" ht="15" hidden="false" customHeight="false" outlineLevel="0" collapsed="false">
      <c r="A11" s="12" t="s">
        <v>550</v>
      </c>
      <c r="B11" s="12" t="s">
        <v>54</v>
      </c>
      <c r="C11" s="12" t="s">
        <v>551</v>
      </c>
      <c r="D11" s="12" t="s">
        <v>552</v>
      </c>
      <c r="E11" s="12" t="s">
        <v>553</v>
      </c>
      <c r="F11" s="12" t="s">
        <v>305</v>
      </c>
      <c r="G11" s="12" t="s">
        <v>526</v>
      </c>
      <c r="H11" s="12" t="n">
        <v>230</v>
      </c>
      <c r="I11" s="21" t="n">
        <v>13.2</v>
      </c>
      <c r="J11" s="12" t="s">
        <v>62</v>
      </c>
      <c r="K11" s="21" t="n">
        <f aca="false">H11*I11</f>
        <v>3036</v>
      </c>
      <c r="L11" s="12" t="s">
        <v>554</v>
      </c>
      <c r="M11" s="12" t="s">
        <v>125</v>
      </c>
      <c r="N11" s="12" t="s">
        <v>125</v>
      </c>
    </row>
    <row r="12" customFormat="false" ht="15" hidden="false" customHeight="false" outlineLevel="0" collapsed="false">
      <c r="A12" s="14" t="s">
        <v>555</v>
      </c>
      <c r="B12" s="14" t="s">
        <v>54</v>
      </c>
      <c r="C12" s="14" t="s">
        <v>556</v>
      </c>
      <c r="D12" s="14" t="s">
        <v>557</v>
      </c>
      <c r="E12" s="14" t="s">
        <v>558</v>
      </c>
      <c r="F12" s="14" t="s">
        <v>305</v>
      </c>
      <c r="G12" s="14" t="s">
        <v>526</v>
      </c>
      <c r="H12" s="14" t="n">
        <v>240</v>
      </c>
      <c r="I12" s="22" t="n">
        <v>13.2</v>
      </c>
      <c r="J12" s="14" t="s">
        <v>62</v>
      </c>
      <c r="K12" s="22" t="n">
        <f aca="false">H12*I12</f>
        <v>3168</v>
      </c>
      <c r="L12" s="14" t="s">
        <v>559</v>
      </c>
      <c r="M12" s="14" t="s">
        <v>125</v>
      </c>
      <c r="N12" s="14" t="s">
        <v>125</v>
      </c>
    </row>
    <row r="13" customFormat="false" ht="15" hidden="false" customHeight="false" outlineLevel="0" collapsed="false">
      <c r="A13" s="12" t="s">
        <v>555</v>
      </c>
      <c r="B13" s="12" t="s">
        <v>54</v>
      </c>
      <c r="C13" s="12" t="s">
        <v>556</v>
      </c>
      <c r="D13" s="12" t="s">
        <v>557</v>
      </c>
      <c r="E13" s="12" t="s">
        <v>558</v>
      </c>
      <c r="F13" s="12" t="s">
        <v>315</v>
      </c>
      <c r="G13" s="12" t="s">
        <v>528</v>
      </c>
      <c r="H13" s="12" t="n">
        <v>120</v>
      </c>
      <c r="I13" s="21" t="n">
        <v>13.2</v>
      </c>
      <c r="J13" s="12" t="s">
        <v>62</v>
      </c>
      <c r="K13" s="21" t="n">
        <f aca="false">H13*I13</f>
        <v>1584</v>
      </c>
      <c r="L13" s="12" t="s">
        <v>559</v>
      </c>
      <c r="M13" s="12" t="s">
        <v>125</v>
      </c>
      <c r="N13" s="12" t="s">
        <v>125</v>
      </c>
    </row>
    <row r="14" customFormat="false" ht="15" hidden="false" customHeight="false" outlineLevel="0" collapsed="false">
      <c r="A14" s="14" t="s">
        <v>560</v>
      </c>
      <c r="B14" s="14" t="s">
        <v>54</v>
      </c>
      <c r="C14" s="14" t="s">
        <v>561</v>
      </c>
      <c r="D14" s="14" t="s">
        <v>562</v>
      </c>
      <c r="E14" s="14" t="s">
        <v>563</v>
      </c>
      <c r="F14" s="14" t="s">
        <v>305</v>
      </c>
      <c r="G14" s="14" t="s">
        <v>526</v>
      </c>
      <c r="H14" s="14" t="n">
        <v>260</v>
      </c>
      <c r="I14" s="22" t="n">
        <v>13.2</v>
      </c>
      <c r="J14" s="14" t="s">
        <v>62</v>
      </c>
      <c r="K14" s="22" t="n">
        <f aca="false">H14*I14</f>
        <v>3432</v>
      </c>
      <c r="L14" s="14" t="s">
        <v>564</v>
      </c>
      <c r="M14" s="14" t="s">
        <v>125</v>
      </c>
      <c r="N14" s="14" t="s">
        <v>125</v>
      </c>
    </row>
    <row r="15" customFormat="false" ht="15" hidden="false" customHeight="false" outlineLevel="0" collapsed="false">
      <c r="A15" s="12" t="s">
        <v>565</v>
      </c>
      <c r="B15" s="12" t="s">
        <v>54</v>
      </c>
      <c r="C15" s="12" t="s">
        <v>566</v>
      </c>
      <c r="D15" s="12" t="s">
        <v>463</v>
      </c>
      <c r="E15" s="12" t="s">
        <v>567</v>
      </c>
      <c r="F15" s="12" t="s">
        <v>305</v>
      </c>
      <c r="G15" s="12" t="s">
        <v>526</v>
      </c>
      <c r="H15" s="12" t="n">
        <v>240</v>
      </c>
      <c r="I15" s="21" t="n">
        <v>13.2</v>
      </c>
      <c r="J15" s="12" t="s">
        <v>62</v>
      </c>
      <c r="K15" s="21" t="n">
        <f aca="false">H15*I15</f>
        <v>3168</v>
      </c>
      <c r="L15" s="12" t="s">
        <v>568</v>
      </c>
      <c r="M15" s="12" t="s">
        <v>125</v>
      </c>
      <c r="N15" s="12" t="s">
        <v>125</v>
      </c>
    </row>
    <row r="16" customFormat="false" ht="15" hidden="false" customHeight="false" outlineLevel="0" collapsed="false">
      <c r="A16" s="14" t="s">
        <v>569</v>
      </c>
      <c r="B16" s="14" t="s">
        <v>54</v>
      </c>
      <c r="C16" s="14" t="s">
        <v>570</v>
      </c>
      <c r="D16" s="14" t="s">
        <v>571</v>
      </c>
      <c r="E16" s="14" t="s">
        <v>572</v>
      </c>
      <c r="F16" s="14" t="s">
        <v>305</v>
      </c>
      <c r="G16" s="14" t="s">
        <v>526</v>
      </c>
      <c r="H16" s="14" t="n">
        <v>250</v>
      </c>
      <c r="I16" s="22" t="n">
        <v>13.2</v>
      </c>
      <c r="J16" s="14" t="s">
        <v>62</v>
      </c>
      <c r="K16" s="22" t="n">
        <f aca="false">H16*I16</f>
        <v>3300</v>
      </c>
      <c r="L16" s="14" t="s">
        <v>573</v>
      </c>
      <c r="M16" s="14" t="s">
        <v>125</v>
      </c>
      <c r="N16" s="14" t="s">
        <v>125</v>
      </c>
    </row>
    <row r="17" customFormat="false" ht="15" hidden="false" customHeight="false" outlineLevel="0" collapsed="false">
      <c r="A17" s="12" t="s">
        <v>574</v>
      </c>
      <c r="B17" s="12" t="s">
        <v>54</v>
      </c>
      <c r="C17" s="12" t="s">
        <v>575</v>
      </c>
      <c r="D17" s="12" t="s">
        <v>576</v>
      </c>
      <c r="E17" s="12" t="s">
        <v>577</v>
      </c>
      <c r="F17" s="12" t="s">
        <v>305</v>
      </c>
      <c r="G17" s="12" t="s">
        <v>526</v>
      </c>
      <c r="H17" s="12" t="n">
        <v>280</v>
      </c>
      <c r="I17" s="21" t="n">
        <v>13.2</v>
      </c>
      <c r="J17" s="12" t="s">
        <v>62</v>
      </c>
      <c r="K17" s="21" t="n">
        <f aca="false">H17*I17</f>
        <v>3696</v>
      </c>
      <c r="L17" s="12" t="s">
        <v>578</v>
      </c>
      <c r="M17" s="12" t="s">
        <v>125</v>
      </c>
      <c r="N17" s="12" t="s">
        <v>125</v>
      </c>
    </row>
    <row r="18" customFormat="false" ht="15" hidden="false" customHeight="false" outlineLevel="0" collapsed="false">
      <c r="A18" s="14" t="s">
        <v>579</v>
      </c>
      <c r="B18" s="14" t="s">
        <v>54</v>
      </c>
      <c r="C18" s="14" t="s">
        <v>580</v>
      </c>
      <c r="D18" s="14" t="s">
        <v>581</v>
      </c>
      <c r="E18" s="14" t="s">
        <v>582</v>
      </c>
      <c r="F18" s="14" t="s">
        <v>305</v>
      </c>
      <c r="G18" s="14" t="s">
        <v>526</v>
      </c>
      <c r="H18" s="14" t="n">
        <v>300</v>
      </c>
      <c r="I18" s="22" t="n">
        <v>13.2</v>
      </c>
      <c r="J18" s="14" t="s">
        <v>62</v>
      </c>
      <c r="K18" s="22" t="n">
        <f aca="false">H18*I18</f>
        <v>3960</v>
      </c>
      <c r="L18" s="14" t="s">
        <v>583</v>
      </c>
      <c r="M18" s="14" t="s">
        <v>125</v>
      </c>
      <c r="N18" s="14" t="s">
        <v>125</v>
      </c>
    </row>
    <row r="19" customFormat="false" ht="15" hidden="false" customHeight="false" outlineLevel="0" collapsed="false">
      <c r="A19" s="12" t="s">
        <v>584</v>
      </c>
      <c r="B19" s="12" t="s">
        <v>71</v>
      </c>
      <c r="C19" s="12" t="s">
        <v>585</v>
      </c>
      <c r="D19" s="12" t="s">
        <v>586</v>
      </c>
      <c r="E19" s="12" t="s">
        <v>587</v>
      </c>
      <c r="F19" s="12" t="s">
        <v>322</v>
      </c>
      <c r="G19" s="12" t="s">
        <v>588</v>
      </c>
      <c r="H19" s="12" t="n">
        <v>480</v>
      </c>
      <c r="I19" s="21" t="n">
        <v>9.6</v>
      </c>
      <c r="J19" s="12" t="s">
        <v>62</v>
      </c>
      <c r="K19" s="21" t="n">
        <f aca="false">H19*I19</f>
        <v>4608</v>
      </c>
      <c r="L19" s="12" t="s">
        <v>523</v>
      </c>
      <c r="M19" s="12" t="s">
        <v>125</v>
      </c>
      <c r="N19" s="12" t="s">
        <v>125</v>
      </c>
    </row>
    <row r="20" customFormat="false" ht="15" hidden="false" customHeight="false" outlineLevel="0" collapsed="false">
      <c r="A20" s="14" t="s">
        <v>589</v>
      </c>
      <c r="B20" s="14" t="s">
        <v>71</v>
      </c>
      <c r="C20" s="14" t="s">
        <v>533</v>
      </c>
      <c r="D20" s="14" t="s">
        <v>590</v>
      </c>
      <c r="E20" s="14" t="s">
        <v>591</v>
      </c>
      <c r="F20" s="14" t="s">
        <v>322</v>
      </c>
      <c r="G20" s="14" t="s">
        <v>588</v>
      </c>
      <c r="H20" s="14" t="n">
        <v>520</v>
      </c>
      <c r="I20" s="22" t="n">
        <v>9.6</v>
      </c>
      <c r="J20" s="14" t="s">
        <v>62</v>
      </c>
      <c r="K20" s="22" t="n">
        <f aca="false">H20*I20</f>
        <v>4992</v>
      </c>
      <c r="L20" s="14" t="s">
        <v>535</v>
      </c>
      <c r="M20" s="14" t="s">
        <v>125</v>
      </c>
      <c r="N20" s="14" t="s">
        <v>125</v>
      </c>
    </row>
    <row r="21" customFormat="false" ht="15" hidden="false" customHeight="false" outlineLevel="0" collapsed="false">
      <c r="A21" s="12" t="s">
        <v>589</v>
      </c>
      <c r="B21" s="12" t="s">
        <v>71</v>
      </c>
      <c r="C21" s="12" t="s">
        <v>533</v>
      </c>
      <c r="D21" s="12" t="s">
        <v>590</v>
      </c>
      <c r="E21" s="12" t="s">
        <v>591</v>
      </c>
      <c r="F21" s="12" t="s">
        <v>327</v>
      </c>
      <c r="G21" s="12" t="s">
        <v>592</v>
      </c>
      <c r="H21" s="12" t="n">
        <v>190</v>
      </c>
      <c r="I21" s="21" t="n">
        <v>11.4</v>
      </c>
      <c r="J21" s="12" t="s">
        <v>62</v>
      </c>
      <c r="K21" s="21" t="n">
        <f aca="false">H21*I21</f>
        <v>2166</v>
      </c>
      <c r="L21" s="12" t="s">
        <v>535</v>
      </c>
      <c r="M21" s="12" t="s">
        <v>125</v>
      </c>
      <c r="N21" s="12" t="s">
        <v>125</v>
      </c>
    </row>
    <row r="22" customFormat="false" ht="15" hidden="false" customHeight="false" outlineLevel="0" collapsed="false">
      <c r="A22" s="14" t="s">
        <v>593</v>
      </c>
      <c r="B22" s="14" t="s">
        <v>71</v>
      </c>
      <c r="C22" s="14" t="s">
        <v>544</v>
      </c>
      <c r="D22" s="14" t="s">
        <v>594</v>
      </c>
      <c r="E22" s="14" t="s">
        <v>595</v>
      </c>
      <c r="F22" s="14" t="s">
        <v>322</v>
      </c>
      <c r="G22" s="14" t="s">
        <v>588</v>
      </c>
      <c r="H22" s="14" t="n">
        <v>500</v>
      </c>
      <c r="I22" s="22" t="n">
        <v>9.6</v>
      </c>
      <c r="J22" s="14" t="s">
        <v>62</v>
      </c>
      <c r="K22" s="22" t="n">
        <f aca="false">H22*I22</f>
        <v>4800</v>
      </c>
      <c r="L22" s="14" t="s">
        <v>546</v>
      </c>
      <c r="M22" s="14" t="s">
        <v>125</v>
      </c>
      <c r="N22" s="14" t="s">
        <v>125</v>
      </c>
    </row>
    <row r="23" customFormat="false" ht="15" hidden="false" customHeight="false" outlineLevel="0" collapsed="false">
      <c r="A23" s="12" t="s">
        <v>593</v>
      </c>
      <c r="B23" s="12" t="s">
        <v>71</v>
      </c>
      <c r="C23" s="12" t="s">
        <v>544</v>
      </c>
      <c r="D23" s="12" t="s">
        <v>594</v>
      </c>
      <c r="E23" s="12" t="s">
        <v>595</v>
      </c>
      <c r="F23" s="12" t="s">
        <v>327</v>
      </c>
      <c r="G23" s="12" t="s">
        <v>592</v>
      </c>
      <c r="H23" s="12" t="n">
        <v>210</v>
      </c>
      <c r="I23" s="21" t="n">
        <v>11.4</v>
      </c>
      <c r="J23" s="12" t="s">
        <v>62</v>
      </c>
      <c r="K23" s="21" t="n">
        <f aca="false">H23*I23</f>
        <v>2394</v>
      </c>
      <c r="L23" s="12" t="s">
        <v>546</v>
      </c>
      <c r="M23" s="12" t="s">
        <v>125</v>
      </c>
      <c r="N23" s="12" t="s">
        <v>125</v>
      </c>
    </row>
    <row r="24" customFormat="false" ht="15" hidden="false" customHeight="false" outlineLevel="0" collapsed="false">
      <c r="A24" s="14" t="s">
        <v>596</v>
      </c>
      <c r="B24" s="14" t="s">
        <v>71</v>
      </c>
      <c r="C24" s="14" t="s">
        <v>556</v>
      </c>
      <c r="D24" s="14" t="s">
        <v>557</v>
      </c>
      <c r="E24" s="14" t="s">
        <v>597</v>
      </c>
      <c r="F24" s="14" t="s">
        <v>322</v>
      </c>
      <c r="G24" s="14" t="s">
        <v>588</v>
      </c>
      <c r="H24" s="14" t="n">
        <v>490</v>
      </c>
      <c r="I24" s="22" t="n">
        <v>9.6</v>
      </c>
      <c r="J24" s="14" t="s">
        <v>62</v>
      </c>
      <c r="K24" s="22" t="n">
        <f aca="false">H24*I24</f>
        <v>4704</v>
      </c>
      <c r="L24" s="14" t="s">
        <v>559</v>
      </c>
      <c r="M24" s="14" t="s">
        <v>125</v>
      </c>
      <c r="N24" s="14" t="s">
        <v>125</v>
      </c>
    </row>
    <row r="25" customFormat="false" ht="15" hidden="false" customHeight="false" outlineLevel="0" collapsed="false">
      <c r="A25" s="12" t="s">
        <v>598</v>
      </c>
      <c r="B25" s="12" t="s">
        <v>71</v>
      </c>
      <c r="C25" s="12" t="s">
        <v>566</v>
      </c>
      <c r="D25" s="12" t="s">
        <v>463</v>
      </c>
      <c r="E25" s="12" t="s">
        <v>599</v>
      </c>
      <c r="F25" s="12" t="s">
        <v>322</v>
      </c>
      <c r="G25" s="12" t="s">
        <v>588</v>
      </c>
      <c r="H25" s="12" t="n">
        <v>510</v>
      </c>
      <c r="I25" s="21" t="n">
        <v>9.6</v>
      </c>
      <c r="J25" s="12" t="s">
        <v>62</v>
      </c>
      <c r="K25" s="21" t="n">
        <f aca="false">H25*I25</f>
        <v>4896</v>
      </c>
      <c r="L25" s="12" t="s">
        <v>568</v>
      </c>
      <c r="M25" s="12" t="s">
        <v>125</v>
      </c>
      <c r="N25" s="12" t="s">
        <v>125</v>
      </c>
    </row>
    <row r="26" customFormat="false" ht="15" hidden="false" customHeight="false" outlineLevel="0" collapsed="false">
      <c r="A26" s="14" t="s">
        <v>600</v>
      </c>
      <c r="B26" s="14" t="s">
        <v>71</v>
      </c>
      <c r="C26" s="14" t="s">
        <v>575</v>
      </c>
      <c r="D26" s="14" t="s">
        <v>576</v>
      </c>
      <c r="E26" s="14" t="s">
        <v>601</v>
      </c>
      <c r="F26" s="14" t="s">
        <v>322</v>
      </c>
      <c r="G26" s="14" t="s">
        <v>588</v>
      </c>
      <c r="H26" s="14" t="n">
        <v>500</v>
      </c>
      <c r="I26" s="22" t="n">
        <v>9.6</v>
      </c>
      <c r="J26" s="14" t="s">
        <v>62</v>
      </c>
      <c r="K26" s="22" t="n">
        <f aca="false">H26*I26</f>
        <v>4800</v>
      </c>
      <c r="L26" s="14" t="s">
        <v>578</v>
      </c>
      <c r="M26" s="14" t="s">
        <v>125</v>
      </c>
      <c r="N26" s="14" t="s">
        <v>125</v>
      </c>
    </row>
    <row r="27" customFormat="false" ht="15" hidden="false" customHeight="false" outlineLevel="0" collapsed="false">
      <c r="A27" s="12" t="s">
        <v>602</v>
      </c>
      <c r="B27" s="12" t="s">
        <v>108</v>
      </c>
      <c r="C27" s="12" t="s">
        <v>603</v>
      </c>
      <c r="D27" s="12" t="s">
        <v>604</v>
      </c>
      <c r="E27" s="12" t="s">
        <v>605</v>
      </c>
      <c r="F27" s="12" t="s">
        <v>322</v>
      </c>
      <c r="G27" s="12" t="s">
        <v>588</v>
      </c>
      <c r="H27" s="12" t="n">
        <v>820</v>
      </c>
      <c r="I27" s="21" t="n">
        <v>9.6</v>
      </c>
      <c r="J27" s="12" t="s">
        <v>62</v>
      </c>
      <c r="K27" s="21" t="n">
        <f aca="false">H27*I27</f>
        <v>7872</v>
      </c>
      <c r="L27" s="12" t="s">
        <v>606</v>
      </c>
      <c r="M27" s="12" t="s">
        <v>125</v>
      </c>
      <c r="N27" s="12" t="s">
        <v>125</v>
      </c>
    </row>
    <row r="28" customFormat="false" ht="15" hidden="false" customHeight="false" outlineLevel="0" collapsed="false">
      <c r="A28" s="14" t="s">
        <v>607</v>
      </c>
      <c r="B28" s="14" t="s">
        <v>108</v>
      </c>
      <c r="C28" s="14" t="s">
        <v>608</v>
      </c>
      <c r="D28" s="14" t="s">
        <v>609</v>
      </c>
      <c r="E28" s="14" t="s">
        <v>610</v>
      </c>
      <c r="F28" s="14" t="s">
        <v>322</v>
      </c>
      <c r="G28" s="14" t="s">
        <v>588</v>
      </c>
      <c r="H28" s="14" t="n">
        <v>870</v>
      </c>
      <c r="I28" s="22" t="n">
        <v>9.6</v>
      </c>
      <c r="J28" s="14" t="s">
        <v>62</v>
      </c>
      <c r="K28" s="22" t="n">
        <f aca="false">H28*I28</f>
        <v>8352</v>
      </c>
      <c r="L28" s="14" t="s">
        <v>611</v>
      </c>
      <c r="M28" s="14" t="s">
        <v>125</v>
      </c>
      <c r="N28" s="14" t="s">
        <v>125</v>
      </c>
    </row>
    <row r="29" customFormat="false" ht="15" hidden="false" customHeight="false" outlineLevel="0" collapsed="false">
      <c r="A29" s="12" t="s">
        <v>612</v>
      </c>
      <c r="B29" s="12" t="s">
        <v>108</v>
      </c>
      <c r="C29" s="12" t="s">
        <v>613</v>
      </c>
      <c r="D29" s="12" t="s">
        <v>466</v>
      </c>
      <c r="E29" s="12" t="s">
        <v>614</v>
      </c>
      <c r="F29" s="12" t="s">
        <v>322</v>
      </c>
      <c r="G29" s="12" t="s">
        <v>588</v>
      </c>
      <c r="H29" s="12" t="n">
        <v>800</v>
      </c>
      <c r="I29" s="21" t="n">
        <v>9.6</v>
      </c>
      <c r="J29" s="12" t="s">
        <v>62</v>
      </c>
      <c r="K29" s="21" t="n">
        <f aca="false">H29*I29</f>
        <v>7680</v>
      </c>
      <c r="L29" s="12" t="s">
        <v>615</v>
      </c>
      <c r="M29" s="12" t="s">
        <v>125</v>
      </c>
      <c r="N29" s="12" t="s">
        <v>125</v>
      </c>
    </row>
    <row r="30" customFormat="false" ht="15" hidden="false" customHeight="false" outlineLevel="0" collapsed="false">
      <c r="A30" s="14" t="s">
        <v>616</v>
      </c>
      <c r="B30" s="14" t="s">
        <v>108</v>
      </c>
      <c r="C30" s="14" t="s">
        <v>617</v>
      </c>
      <c r="D30" s="14" t="s">
        <v>618</v>
      </c>
      <c r="E30" s="14" t="s">
        <v>619</v>
      </c>
      <c r="F30" s="14" t="s">
        <v>322</v>
      </c>
      <c r="G30" s="14" t="s">
        <v>588</v>
      </c>
      <c r="H30" s="14" t="n">
        <v>910</v>
      </c>
      <c r="I30" s="22" t="n">
        <v>9.6</v>
      </c>
      <c r="J30" s="14" t="s">
        <v>62</v>
      </c>
      <c r="K30" s="22" t="n">
        <f aca="false">H30*I30</f>
        <v>8736</v>
      </c>
      <c r="L30" s="14" t="s">
        <v>620</v>
      </c>
      <c r="M30" s="14" t="s">
        <v>125</v>
      </c>
      <c r="N30" s="14" t="s">
        <v>125</v>
      </c>
    </row>
    <row r="31" customFormat="false" ht="15" hidden="false" customHeight="false" outlineLevel="0" collapsed="false">
      <c r="A31" s="12" t="s">
        <v>621</v>
      </c>
      <c r="B31" s="12" t="s">
        <v>108</v>
      </c>
      <c r="C31" s="12" t="s">
        <v>622</v>
      </c>
      <c r="D31" s="12" t="s">
        <v>623</v>
      </c>
      <c r="E31" s="12" t="s">
        <v>624</v>
      </c>
      <c r="F31" s="12" t="s">
        <v>322</v>
      </c>
      <c r="G31" s="12" t="s">
        <v>588</v>
      </c>
      <c r="H31" s="12" t="n">
        <v>840</v>
      </c>
      <c r="I31" s="21" t="n">
        <v>9.6</v>
      </c>
      <c r="J31" s="12" t="s">
        <v>62</v>
      </c>
      <c r="K31" s="21" t="n">
        <f aca="false">H31*I31</f>
        <v>8064</v>
      </c>
      <c r="L31" s="12" t="s">
        <v>625</v>
      </c>
      <c r="M31" s="12" t="s">
        <v>125</v>
      </c>
      <c r="N31" s="12" t="s">
        <v>125</v>
      </c>
    </row>
    <row r="32" customFormat="false" ht="15" hidden="false" customHeight="false" outlineLevel="0" collapsed="false">
      <c r="A32" s="14" t="s">
        <v>626</v>
      </c>
      <c r="B32" s="14" t="s">
        <v>108</v>
      </c>
      <c r="C32" s="14" t="s">
        <v>627</v>
      </c>
      <c r="D32" s="14" t="s">
        <v>628</v>
      </c>
      <c r="E32" s="14" t="s">
        <v>629</v>
      </c>
      <c r="F32" s="14" t="s">
        <v>322</v>
      </c>
      <c r="G32" s="14" t="s">
        <v>588</v>
      </c>
      <c r="H32" s="14" t="n">
        <v>860</v>
      </c>
      <c r="I32" s="22" t="n">
        <v>9.6</v>
      </c>
      <c r="J32" s="14" t="s">
        <v>62</v>
      </c>
      <c r="K32" s="22" t="n">
        <f aca="false">H32*I32</f>
        <v>8256</v>
      </c>
      <c r="L32" s="14" t="s">
        <v>630</v>
      </c>
      <c r="M32" s="14" t="s">
        <v>125</v>
      </c>
      <c r="N32" s="14" t="s">
        <v>125</v>
      </c>
    </row>
    <row r="33" customFormat="false" ht="15" hidden="false" customHeight="false" outlineLevel="0" collapsed="false">
      <c r="A33" s="12" t="s">
        <v>631</v>
      </c>
      <c r="B33" s="12" t="s">
        <v>77</v>
      </c>
      <c r="C33" s="12" t="s">
        <v>527</v>
      </c>
      <c r="D33" s="12" t="s">
        <v>632</v>
      </c>
      <c r="E33" s="12" t="s">
        <v>633</v>
      </c>
      <c r="F33" s="12" t="s">
        <v>331</v>
      </c>
      <c r="G33" s="12" t="s">
        <v>332</v>
      </c>
      <c r="H33" s="12" t="n">
        <v>280</v>
      </c>
      <c r="I33" s="21" t="n">
        <v>28.44</v>
      </c>
      <c r="J33" s="12" t="s">
        <v>62</v>
      </c>
      <c r="K33" s="21" t="n">
        <f aca="false">H33*I33</f>
        <v>7963.2</v>
      </c>
      <c r="L33" s="12" t="s">
        <v>530</v>
      </c>
      <c r="M33" s="12" t="s">
        <v>125</v>
      </c>
      <c r="N33" s="12" t="s">
        <v>125</v>
      </c>
    </row>
    <row r="34" customFormat="false" ht="15" hidden="false" customHeight="false" outlineLevel="0" collapsed="false">
      <c r="A34" s="14" t="s">
        <v>634</v>
      </c>
      <c r="B34" s="14" t="s">
        <v>77</v>
      </c>
      <c r="C34" s="14" t="s">
        <v>549</v>
      </c>
      <c r="D34" s="14" t="s">
        <v>635</v>
      </c>
      <c r="E34" s="14" t="s">
        <v>636</v>
      </c>
      <c r="F34" s="14" t="s">
        <v>331</v>
      </c>
      <c r="G34" s="14" t="s">
        <v>332</v>
      </c>
      <c r="H34" s="14" t="n">
        <v>300</v>
      </c>
      <c r="I34" s="22" t="n">
        <v>28.44</v>
      </c>
      <c r="J34" s="14" t="s">
        <v>62</v>
      </c>
      <c r="K34" s="22" t="n">
        <f aca="false">H34*I34</f>
        <v>8532</v>
      </c>
      <c r="L34" s="14" t="s">
        <v>551</v>
      </c>
      <c r="M34" s="14" t="s">
        <v>125</v>
      </c>
      <c r="N34" s="14" t="s">
        <v>125</v>
      </c>
    </row>
    <row r="35" customFormat="false" ht="15" hidden="false" customHeight="false" outlineLevel="0" collapsed="false">
      <c r="A35" s="12" t="s">
        <v>637</v>
      </c>
      <c r="B35" s="12" t="s">
        <v>77</v>
      </c>
      <c r="C35" s="12" t="s">
        <v>568</v>
      </c>
      <c r="D35" s="12" t="s">
        <v>638</v>
      </c>
      <c r="E35" s="12" t="s">
        <v>639</v>
      </c>
      <c r="F35" s="12" t="s">
        <v>331</v>
      </c>
      <c r="G35" s="12" t="s">
        <v>332</v>
      </c>
      <c r="H35" s="12" t="n">
        <v>290</v>
      </c>
      <c r="I35" s="21" t="n">
        <v>28.44</v>
      </c>
      <c r="J35" s="12" t="s">
        <v>62</v>
      </c>
      <c r="K35" s="21" t="n">
        <f aca="false">H35*I35</f>
        <v>8247.6</v>
      </c>
      <c r="L35" s="12" t="s">
        <v>570</v>
      </c>
      <c r="M35" s="12" t="s">
        <v>125</v>
      </c>
      <c r="N35" s="12" t="s">
        <v>125</v>
      </c>
    </row>
    <row r="36" customFormat="false" ht="15" hidden="false" customHeight="false" outlineLevel="0" collapsed="false">
      <c r="A36" s="14" t="s">
        <v>640</v>
      </c>
      <c r="B36" s="14" t="s">
        <v>77</v>
      </c>
      <c r="C36" s="14" t="s">
        <v>578</v>
      </c>
      <c r="D36" s="14" t="s">
        <v>641</v>
      </c>
      <c r="E36" s="14" t="s">
        <v>642</v>
      </c>
      <c r="F36" s="14" t="s">
        <v>337</v>
      </c>
      <c r="G36" s="14" t="s">
        <v>338</v>
      </c>
      <c r="H36" s="14" t="n">
        <v>145</v>
      </c>
      <c r="I36" s="22" t="n">
        <v>24</v>
      </c>
      <c r="J36" s="14" t="s">
        <v>62</v>
      </c>
      <c r="K36" s="22" t="n">
        <f aca="false">H36*I36</f>
        <v>3480</v>
      </c>
      <c r="L36" s="14" t="s">
        <v>580</v>
      </c>
      <c r="M36" s="14" t="s">
        <v>125</v>
      </c>
      <c r="N36" s="14" t="s">
        <v>125</v>
      </c>
    </row>
    <row r="37" customFormat="false" ht="15" hidden="false" customHeight="false" outlineLevel="0" collapsed="false">
      <c r="A37" s="12" t="s">
        <v>643</v>
      </c>
      <c r="B37" s="12" t="s">
        <v>82</v>
      </c>
      <c r="C37" s="12" t="s">
        <v>644</v>
      </c>
      <c r="D37" s="12" t="s">
        <v>530</v>
      </c>
      <c r="E37" s="12" t="s">
        <v>645</v>
      </c>
      <c r="F37" s="12" t="s">
        <v>348</v>
      </c>
      <c r="G37" s="12" t="s">
        <v>349</v>
      </c>
      <c r="H37" s="12" t="n">
        <v>175</v>
      </c>
      <c r="I37" s="21" t="n">
        <v>42</v>
      </c>
      <c r="J37" s="12" t="s">
        <v>62</v>
      </c>
      <c r="K37" s="21" t="n">
        <f aca="false">H37*I37</f>
        <v>7350</v>
      </c>
      <c r="L37" s="12" t="s">
        <v>646</v>
      </c>
      <c r="M37" s="12" t="s">
        <v>125</v>
      </c>
      <c r="N37" s="12" t="s">
        <v>125</v>
      </c>
    </row>
    <row r="38" customFormat="false" ht="15" hidden="false" customHeight="false" outlineLevel="0" collapsed="false">
      <c r="A38" s="14" t="s">
        <v>647</v>
      </c>
      <c r="B38" s="14" t="s">
        <v>82</v>
      </c>
      <c r="C38" s="14" t="s">
        <v>648</v>
      </c>
      <c r="D38" s="14" t="s">
        <v>649</v>
      </c>
      <c r="E38" s="14" t="s">
        <v>650</v>
      </c>
      <c r="F38" s="14" t="s">
        <v>348</v>
      </c>
      <c r="G38" s="14" t="s">
        <v>349</v>
      </c>
      <c r="H38" s="14" t="n">
        <v>185</v>
      </c>
      <c r="I38" s="22" t="n">
        <v>42</v>
      </c>
      <c r="J38" s="14" t="s">
        <v>62</v>
      </c>
      <c r="K38" s="22" t="n">
        <f aca="false">H38*I38</f>
        <v>7770</v>
      </c>
      <c r="L38" s="14" t="s">
        <v>651</v>
      </c>
      <c r="M38" s="14" t="s">
        <v>125</v>
      </c>
      <c r="N38" s="14" t="s">
        <v>125</v>
      </c>
    </row>
    <row r="39" customFormat="false" ht="15" hidden="false" customHeight="false" outlineLevel="0" collapsed="false">
      <c r="A39" s="12" t="s">
        <v>652</v>
      </c>
      <c r="B39" s="12" t="s">
        <v>82</v>
      </c>
      <c r="C39" s="12" t="s">
        <v>575</v>
      </c>
      <c r="D39" s="12" t="s">
        <v>576</v>
      </c>
      <c r="E39" s="12" t="s">
        <v>653</v>
      </c>
      <c r="F39" s="12" t="s">
        <v>354</v>
      </c>
      <c r="G39" s="12" t="s">
        <v>355</v>
      </c>
      <c r="H39" s="12" t="n">
        <v>88</v>
      </c>
      <c r="I39" s="21" t="n">
        <v>82</v>
      </c>
      <c r="J39" s="12" t="s">
        <v>62</v>
      </c>
      <c r="K39" s="21" t="n">
        <f aca="false">H39*I39</f>
        <v>7216</v>
      </c>
      <c r="L39" s="12" t="s">
        <v>578</v>
      </c>
      <c r="M39" s="12" t="s">
        <v>125</v>
      </c>
      <c r="N39" s="12" t="s">
        <v>125</v>
      </c>
    </row>
    <row r="40" customFormat="false" ht="15" hidden="false" customHeight="false" outlineLevel="0" collapsed="false">
      <c r="A40" s="14" t="s">
        <v>654</v>
      </c>
      <c r="B40" s="14" t="s">
        <v>112</v>
      </c>
      <c r="C40" s="14" t="s">
        <v>535</v>
      </c>
      <c r="D40" s="14" t="s">
        <v>536</v>
      </c>
      <c r="E40" s="14" t="s">
        <v>655</v>
      </c>
      <c r="F40" s="14" t="s">
        <v>348</v>
      </c>
      <c r="G40" s="14" t="s">
        <v>349</v>
      </c>
      <c r="H40" s="14" t="n">
        <v>230</v>
      </c>
      <c r="I40" s="22" t="n">
        <v>42</v>
      </c>
      <c r="J40" s="14" t="s">
        <v>62</v>
      </c>
      <c r="K40" s="22" t="n">
        <f aca="false">H40*I40</f>
        <v>9660</v>
      </c>
      <c r="L40" s="14" t="s">
        <v>538</v>
      </c>
      <c r="M40" s="14" t="s">
        <v>125</v>
      </c>
      <c r="N40" s="14" t="s">
        <v>125</v>
      </c>
    </row>
    <row r="41" customFormat="false" ht="15" hidden="false" customHeight="false" outlineLevel="0" collapsed="false">
      <c r="A41" s="12" t="s">
        <v>656</v>
      </c>
      <c r="B41" s="12" t="s">
        <v>112</v>
      </c>
      <c r="C41" s="12" t="s">
        <v>566</v>
      </c>
      <c r="D41" s="12" t="s">
        <v>463</v>
      </c>
      <c r="E41" s="12" t="s">
        <v>657</v>
      </c>
      <c r="F41" s="12" t="s">
        <v>348</v>
      </c>
      <c r="G41" s="12" t="s">
        <v>349</v>
      </c>
      <c r="H41" s="12" t="n">
        <v>245</v>
      </c>
      <c r="I41" s="21" t="n">
        <v>42</v>
      </c>
      <c r="J41" s="12" t="s">
        <v>62</v>
      </c>
      <c r="K41" s="21" t="n">
        <f aca="false">H41*I41</f>
        <v>10290</v>
      </c>
      <c r="L41" s="12" t="s">
        <v>568</v>
      </c>
      <c r="M41" s="12" t="s">
        <v>125</v>
      </c>
      <c r="N41" s="12" t="s">
        <v>125</v>
      </c>
    </row>
    <row r="42" customFormat="false" ht="15" hidden="false" customHeight="false" outlineLevel="0" collapsed="false">
      <c r="A42" s="14" t="s">
        <v>658</v>
      </c>
      <c r="B42" s="14" t="s">
        <v>119</v>
      </c>
      <c r="C42" s="14" t="s">
        <v>538</v>
      </c>
      <c r="D42" s="14" t="s">
        <v>659</v>
      </c>
      <c r="E42" s="14" t="s">
        <v>660</v>
      </c>
      <c r="F42" s="14" t="s">
        <v>331</v>
      </c>
      <c r="G42" s="14" t="s">
        <v>332</v>
      </c>
      <c r="H42" s="14" t="n">
        <v>85</v>
      </c>
      <c r="I42" s="22" t="n">
        <v>28.44</v>
      </c>
      <c r="J42" s="14" t="s">
        <v>62</v>
      </c>
      <c r="K42" s="22" t="n">
        <f aca="false">H42*I42</f>
        <v>2417.4</v>
      </c>
      <c r="L42" s="14" t="s">
        <v>541</v>
      </c>
      <c r="M42" s="14" t="s">
        <v>125</v>
      </c>
      <c r="N42" s="14" t="s">
        <v>125</v>
      </c>
    </row>
    <row r="43" customFormat="false" ht="15" hidden="false" customHeight="false" outlineLevel="0" collapsed="false">
      <c r="A43" s="12" t="s">
        <v>661</v>
      </c>
      <c r="B43" s="12" t="s">
        <v>119</v>
      </c>
      <c r="C43" s="12" t="s">
        <v>568</v>
      </c>
      <c r="D43" s="12" t="s">
        <v>638</v>
      </c>
      <c r="E43" s="12" t="s">
        <v>662</v>
      </c>
      <c r="F43" s="12" t="s">
        <v>331</v>
      </c>
      <c r="G43" s="12" t="s">
        <v>332</v>
      </c>
      <c r="H43" s="12" t="n">
        <v>90</v>
      </c>
      <c r="I43" s="21" t="n">
        <v>22</v>
      </c>
      <c r="J43" s="12" t="s">
        <v>62</v>
      </c>
      <c r="K43" s="21" t="n">
        <f aca="false">H43*I43</f>
        <v>1980</v>
      </c>
      <c r="L43" s="12" t="s">
        <v>570</v>
      </c>
      <c r="M43" s="12" t="s">
        <v>125</v>
      </c>
      <c r="N43" s="12" t="s">
        <v>125</v>
      </c>
    </row>
    <row r="44" customFormat="false" ht="15" hidden="false" customHeight="false" outlineLevel="0" collapsed="false">
      <c r="A44" s="14" t="s">
        <v>663</v>
      </c>
      <c r="B44" s="14" t="s">
        <v>119</v>
      </c>
      <c r="C44" s="14" t="s">
        <v>578</v>
      </c>
      <c r="D44" s="14" t="s">
        <v>641</v>
      </c>
      <c r="E44" s="14" t="s">
        <v>664</v>
      </c>
      <c r="F44" s="14" t="s">
        <v>322</v>
      </c>
      <c r="G44" s="14" t="s">
        <v>588</v>
      </c>
      <c r="H44" s="14" t="n">
        <v>150</v>
      </c>
      <c r="I44" s="22" t="n">
        <v>9.6</v>
      </c>
      <c r="J44" s="14" t="s">
        <v>62</v>
      </c>
      <c r="K44" s="22" t="n">
        <f aca="false">H44*I44</f>
        <v>1440</v>
      </c>
      <c r="L44" s="14" t="s">
        <v>580</v>
      </c>
      <c r="M44" s="14" t="s">
        <v>125</v>
      </c>
      <c r="N44" s="14" t="s">
        <v>125</v>
      </c>
    </row>
    <row r="45" customFormat="false" ht="15" hidden="false" customHeight="false" outlineLevel="0" collapsed="false">
      <c r="A45" s="12" t="s">
        <v>665</v>
      </c>
      <c r="B45" s="12" t="s">
        <v>94</v>
      </c>
      <c r="C45" s="12" t="s">
        <v>551</v>
      </c>
      <c r="D45" s="12" t="s">
        <v>552</v>
      </c>
      <c r="E45" s="12" t="s">
        <v>666</v>
      </c>
      <c r="F45" s="12" t="s">
        <v>362</v>
      </c>
      <c r="G45" s="12" t="s">
        <v>667</v>
      </c>
      <c r="H45" s="12" t="n">
        <v>460</v>
      </c>
      <c r="I45" s="21" t="n">
        <v>8.96</v>
      </c>
      <c r="J45" s="12" t="s">
        <v>62</v>
      </c>
      <c r="K45" s="21" t="n">
        <f aca="false">H45*I45</f>
        <v>4121.6</v>
      </c>
      <c r="L45" s="12" t="s">
        <v>554</v>
      </c>
      <c r="M45" s="12" t="s">
        <v>125</v>
      </c>
      <c r="N45" s="12" t="s">
        <v>125</v>
      </c>
    </row>
    <row r="46" customFormat="false" ht="15" hidden="false" customHeight="false" outlineLevel="0" collapsed="false">
      <c r="A46" s="14" t="s">
        <v>668</v>
      </c>
      <c r="B46" s="14" t="s">
        <v>94</v>
      </c>
      <c r="C46" s="14" t="s">
        <v>570</v>
      </c>
      <c r="D46" s="14" t="s">
        <v>571</v>
      </c>
      <c r="E46" s="14" t="s">
        <v>669</v>
      </c>
      <c r="F46" s="14" t="s">
        <v>367</v>
      </c>
      <c r="G46" s="14" t="s">
        <v>670</v>
      </c>
      <c r="H46" s="14" t="n">
        <v>230</v>
      </c>
      <c r="I46" s="22" t="n">
        <v>17.5</v>
      </c>
      <c r="J46" s="14" t="s">
        <v>62</v>
      </c>
      <c r="K46" s="22" t="n">
        <f aca="false">H46*I46</f>
        <v>4025</v>
      </c>
      <c r="L46" s="14" t="s">
        <v>573</v>
      </c>
      <c r="M46" s="14" t="s">
        <v>125</v>
      </c>
      <c r="N46" s="14" t="s">
        <v>125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22"/>
    <col collapsed="false" customWidth="true" hidden="false" outlineLevel="0" max="7" min="5" style="0" width="10"/>
    <col collapsed="false" customWidth="true" hidden="false" outlineLevel="0" max="9" min="8" style="0" width="8"/>
    <col collapsed="false" customWidth="true" hidden="false" outlineLevel="0" max="10" min="10" style="0" width="14"/>
    <col collapsed="false" customWidth="true" hidden="false" outlineLevel="0" max="12" min="11" style="0" width="12"/>
  </cols>
  <sheetData>
    <row r="1" customFormat="false" ht="27.75" hidden="false" customHeight="true" outlineLevel="0" collapsed="false">
      <c r="A1" s="10" t="s">
        <v>671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6" hidden="false" customHeight="true" outlineLevel="0" collapsed="false">
      <c r="A2" s="11" t="s">
        <v>420</v>
      </c>
      <c r="B2" s="11" t="s">
        <v>421</v>
      </c>
      <c r="C2" s="11" t="s">
        <v>672</v>
      </c>
      <c r="D2" s="11" t="s">
        <v>673</v>
      </c>
      <c r="E2" s="11" t="s">
        <v>674</v>
      </c>
      <c r="F2" s="11" t="s">
        <v>675</v>
      </c>
      <c r="G2" s="11" t="s">
        <v>676</v>
      </c>
      <c r="H2" s="11" t="s">
        <v>677</v>
      </c>
      <c r="I2" s="11" t="s">
        <v>678</v>
      </c>
      <c r="J2" s="11" t="s">
        <v>679</v>
      </c>
      <c r="K2" s="11" t="s">
        <v>680</v>
      </c>
      <c r="L2" s="11" t="s">
        <v>681</v>
      </c>
    </row>
    <row r="3" customFormat="false" ht="15" hidden="false" customHeight="false" outlineLevel="0" collapsed="false">
      <c r="A3" s="12" t="s">
        <v>54</v>
      </c>
      <c r="B3" s="12" t="s">
        <v>305</v>
      </c>
      <c r="C3" s="12" t="s">
        <v>55</v>
      </c>
      <c r="D3" s="12" t="s">
        <v>526</v>
      </c>
      <c r="E3" s="12" t="n">
        <v>10</v>
      </c>
      <c r="F3" s="12" t="n">
        <v>251</v>
      </c>
      <c r="G3" s="12" t="n">
        <v>24</v>
      </c>
      <c r="H3" s="12" t="n">
        <v>220</v>
      </c>
      <c r="I3" s="12" t="n">
        <v>300</v>
      </c>
      <c r="J3" s="21" t="n">
        <v>3754</v>
      </c>
      <c r="K3" s="21" t="n">
        <f aca="false">F3*1.4</f>
        <v>351.4</v>
      </c>
      <c r="L3" s="21" t="n">
        <f aca="false">F3*3</f>
        <v>753</v>
      </c>
    </row>
    <row r="4" customFormat="false" ht="15" hidden="false" customHeight="false" outlineLevel="0" collapsed="false">
      <c r="A4" s="14" t="s">
        <v>54</v>
      </c>
      <c r="B4" s="14" t="s">
        <v>315</v>
      </c>
      <c r="C4" s="14" t="s">
        <v>55</v>
      </c>
      <c r="D4" s="14" t="s">
        <v>528</v>
      </c>
      <c r="E4" s="14" t="n">
        <v>4</v>
      </c>
      <c r="F4" s="14" t="n">
        <v>118</v>
      </c>
      <c r="G4" s="14" t="n">
        <v>9</v>
      </c>
      <c r="H4" s="14" t="n">
        <v>110</v>
      </c>
      <c r="I4" s="14" t="n">
        <v>130</v>
      </c>
      <c r="J4" s="22" t="n">
        <v>1555</v>
      </c>
      <c r="K4" s="22" t="n">
        <f aca="false">F4*1.4</f>
        <v>165.2</v>
      </c>
      <c r="L4" s="22" t="n">
        <f aca="false">F4*3</f>
        <v>354</v>
      </c>
    </row>
    <row r="5" customFormat="false" ht="15" hidden="false" customHeight="false" outlineLevel="0" collapsed="false">
      <c r="A5" s="12" t="s">
        <v>54</v>
      </c>
      <c r="B5" s="12" t="s">
        <v>318</v>
      </c>
      <c r="C5" s="12" t="s">
        <v>55</v>
      </c>
      <c r="D5" s="12" t="s">
        <v>539</v>
      </c>
      <c r="E5" s="12" t="n">
        <v>2</v>
      </c>
      <c r="F5" s="12" t="n">
        <v>96</v>
      </c>
      <c r="G5" s="12" t="n">
        <v>0</v>
      </c>
      <c r="H5" s="12" t="n">
        <v>96</v>
      </c>
      <c r="I5" s="12" t="n">
        <v>96</v>
      </c>
      <c r="J5" s="21" t="n">
        <v>1429</v>
      </c>
      <c r="K5" s="21" t="n">
        <f aca="false">F5*1.4</f>
        <v>134.4</v>
      </c>
      <c r="L5" s="21" t="n">
        <f aca="false">F5*3</f>
        <v>288</v>
      </c>
    </row>
    <row r="6" customFormat="false" ht="15" hidden="false" customHeight="false" outlineLevel="0" collapsed="false">
      <c r="A6" s="14" t="s">
        <v>71</v>
      </c>
      <c r="B6" s="14" t="s">
        <v>322</v>
      </c>
      <c r="C6" s="14" t="s">
        <v>72</v>
      </c>
      <c r="D6" s="14" t="s">
        <v>588</v>
      </c>
      <c r="E6" s="14" t="n">
        <v>6</v>
      </c>
      <c r="F6" s="14" t="n">
        <v>500</v>
      </c>
      <c r="G6" s="14" t="n">
        <v>16</v>
      </c>
      <c r="H6" s="14" t="n">
        <v>480</v>
      </c>
      <c r="I6" s="14" t="n">
        <v>520</v>
      </c>
      <c r="J6" s="22" t="n">
        <v>4800</v>
      </c>
      <c r="K6" s="22" t="n">
        <f aca="false">F6*1.4</f>
        <v>700</v>
      </c>
      <c r="L6" s="22" t="n">
        <f aca="false">F6*3</f>
        <v>1500</v>
      </c>
    </row>
    <row r="7" customFormat="false" ht="15" hidden="false" customHeight="false" outlineLevel="0" collapsed="false">
      <c r="A7" s="12" t="s">
        <v>71</v>
      </c>
      <c r="B7" s="12" t="s">
        <v>327</v>
      </c>
      <c r="C7" s="12" t="s">
        <v>72</v>
      </c>
      <c r="D7" s="12" t="s">
        <v>592</v>
      </c>
      <c r="E7" s="12" t="n">
        <v>3</v>
      </c>
      <c r="F7" s="12" t="n">
        <v>197</v>
      </c>
      <c r="G7" s="12" t="n">
        <v>10</v>
      </c>
      <c r="H7" s="12" t="n">
        <v>190</v>
      </c>
      <c r="I7" s="12" t="n">
        <v>210</v>
      </c>
      <c r="J7" s="21" t="n">
        <v>2246</v>
      </c>
      <c r="K7" s="21" t="n">
        <f aca="false">F7*1.4</f>
        <v>275.8</v>
      </c>
      <c r="L7" s="21" t="n">
        <f aca="false">F7*3</f>
        <v>591</v>
      </c>
    </row>
    <row r="8" customFormat="false" ht="15" hidden="false" customHeight="false" outlineLevel="0" collapsed="false">
      <c r="A8" s="14" t="s">
        <v>77</v>
      </c>
      <c r="B8" s="14" t="s">
        <v>331</v>
      </c>
      <c r="C8" s="14" t="s">
        <v>682</v>
      </c>
      <c r="D8" s="14" t="s">
        <v>332</v>
      </c>
      <c r="E8" s="14" t="n">
        <v>3</v>
      </c>
      <c r="F8" s="14" t="n">
        <v>290</v>
      </c>
      <c r="G8" s="14" t="n">
        <v>8</v>
      </c>
      <c r="H8" s="14" t="n">
        <v>280</v>
      </c>
      <c r="I8" s="14" t="n">
        <v>300</v>
      </c>
      <c r="J8" s="22" t="n">
        <v>8244</v>
      </c>
      <c r="K8" s="22" t="n">
        <f aca="false">F8*1.4</f>
        <v>406</v>
      </c>
      <c r="L8" s="22" t="n">
        <f aca="false">F8*3</f>
        <v>870</v>
      </c>
    </row>
    <row r="9" customFormat="false" ht="15" hidden="false" customHeight="false" outlineLevel="0" collapsed="false">
      <c r="A9" s="12" t="s">
        <v>77</v>
      </c>
      <c r="B9" s="12" t="s">
        <v>337</v>
      </c>
      <c r="C9" s="12" t="s">
        <v>682</v>
      </c>
      <c r="D9" s="12" t="s">
        <v>338</v>
      </c>
      <c r="E9" s="12" t="n">
        <v>1</v>
      </c>
      <c r="F9" s="12" t="n">
        <v>145</v>
      </c>
      <c r="G9" s="12" t="n">
        <v>0</v>
      </c>
      <c r="H9" s="12" t="n">
        <v>145</v>
      </c>
      <c r="I9" s="12" t="n">
        <v>145</v>
      </c>
      <c r="J9" s="21" t="n">
        <v>3480</v>
      </c>
      <c r="K9" s="21" t="n">
        <f aca="false">F9*1.4</f>
        <v>203</v>
      </c>
      <c r="L9" s="21" t="n">
        <f aca="false">F9*3</f>
        <v>435</v>
      </c>
    </row>
    <row r="10" customFormat="false" ht="15" hidden="false" customHeight="false" outlineLevel="0" collapsed="false">
      <c r="A10" s="14" t="s">
        <v>82</v>
      </c>
      <c r="B10" s="14" t="s">
        <v>348</v>
      </c>
      <c r="C10" s="14" t="s">
        <v>83</v>
      </c>
      <c r="D10" s="14" t="s">
        <v>349</v>
      </c>
      <c r="E10" s="14" t="n">
        <v>2</v>
      </c>
      <c r="F10" s="14" t="n">
        <v>180</v>
      </c>
      <c r="G10" s="14" t="n">
        <v>5</v>
      </c>
      <c r="H10" s="14" t="n">
        <v>175</v>
      </c>
      <c r="I10" s="14" t="n">
        <v>185</v>
      </c>
      <c r="J10" s="22" t="n">
        <v>7560</v>
      </c>
      <c r="K10" s="22" t="n">
        <f aca="false">F10*1.4</f>
        <v>252</v>
      </c>
      <c r="L10" s="22" t="n">
        <f aca="false">F10*3</f>
        <v>540</v>
      </c>
    </row>
    <row r="11" customFormat="false" ht="15" hidden="false" customHeight="false" outlineLevel="0" collapsed="false">
      <c r="A11" s="12" t="s">
        <v>82</v>
      </c>
      <c r="B11" s="12" t="s">
        <v>354</v>
      </c>
      <c r="C11" s="12" t="s">
        <v>83</v>
      </c>
      <c r="D11" s="12" t="s">
        <v>355</v>
      </c>
      <c r="E11" s="12" t="n">
        <v>1</v>
      </c>
      <c r="F11" s="12" t="n">
        <v>88</v>
      </c>
      <c r="G11" s="12" t="n">
        <v>0</v>
      </c>
      <c r="H11" s="12" t="n">
        <v>88</v>
      </c>
      <c r="I11" s="12" t="n">
        <v>88</v>
      </c>
      <c r="J11" s="21" t="n">
        <v>7216</v>
      </c>
      <c r="K11" s="21" t="n">
        <f aca="false">F11*1.4</f>
        <v>123.2</v>
      </c>
      <c r="L11" s="21" t="n">
        <f aca="false">F11*3</f>
        <v>264</v>
      </c>
    </row>
    <row r="12" customFormat="false" ht="15" hidden="false" customHeight="false" outlineLevel="0" collapsed="false">
      <c r="A12" s="14" t="s">
        <v>94</v>
      </c>
      <c r="B12" s="14" t="s">
        <v>362</v>
      </c>
      <c r="C12" s="14" t="s">
        <v>683</v>
      </c>
      <c r="D12" s="14" t="s">
        <v>667</v>
      </c>
      <c r="E12" s="14" t="n">
        <v>1</v>
      </c>
      <c r="F12" s="14" t="n">
        <v>460</v>
      </c>
      <c r="G12" s="14" t="n">
        <v>0</v>
      </c>
      <c r="H12" s="14" t="n">
        <v>460</v>
      </c>
      <c r="I12" s="14" t="n">
        <v>460</v>
      </c>
      <c r="J12" s="22" t="n">
        <v>4122</v>
      </c>
      <c r="K12" s="22" t="n">
        <f aca="false">F12*1.4</f>
        <v>644</v>
      </c>
      <c r="L12" s="22" t="n">
        <f aca="false">F12*3</f>
        <v>1380</v>
      </c>
    </row>
    <row r="13" customFormat="false" ht="15" hidden="false" customHeight="false" outlineLevel="0" collapsed="false">
      <c r="A13" s="12" t="s">
        <v>94</v>
      </c>
      <c r="B13" s="12" t="s">
        <v>367</v>
      </c>
      <c r="C13" s="12" t="s">
        <v>683</v>
      </c>
      <c r="D13" s="12" t="s">
        <v>670</v>
      </c>
      <c r="E13" s="12" t="n">
        <v>1</v>
      </c>
      <c r="F13" s="12" t="n">
        <v>230</v>
      </c>
      <c r="G13" s="12" t="n">
        <v>0</v>
      </c>
      <c r="H13" s="12" t="n">
        <v>230</v>
      </c>
      <c r="I13" s="12" t="n">
        <v>230</v>
      </c>
      <c r="J13" s="21" t="n">
        <v>4025</v>
      </c>
      <c r="K13" s="21" t="n">
        <f aca="false">F13*1.4</f>
        <v>322</v>
      </c>
      <c r="L13" s="21" t="n">
        <f aca="false">F13*3</f>
        <v>690</v>
      </c>
    </row>
    <row r="14" customFormat="false" ht="15" hidden="false" customHeight="false" outlineLevel="0" collapsed="false">
      <c r="A14" s="20" t="s">
        <v>108</v>
      </c>
      <c r="B14" s="20" t="s">
        <v>322</v>
      </c>
      <c r="C14" s="20" t="s">
        <v>109</v>
      </c>
      <c r="D14" s="20" t="s">
        <v>588</v>
      </c>
      <c r="E14" s="20" t="n">
        <v>6</v>
      </c>
      <c r="F14" s="20" t="n">
        <v>850</v>
      </c>
      <c r="G14" s="20" t="n">
        <v>37</v>
      </c>
      <c r="H14" s="20" t="n">
        <v>800</v>
      </c>
      <c r="I14" s="20" t="n">
        <v>910</v>
      </c>
      <c r="J14" s="23" t="n">
        <v>8160</v>
      </c>
      <c r="K14" s="23" t="n">
        <f aca="false">F14*1.4</f>
        <v>1190</v>
      </c>
      <c r="L14" s="23" t="n">
        <f aca="false">F14*3</f>
        <v>2550</v>
      </c>
    </row>
    <row r="15" customFormat="false" ht="15" hidden="false" customHeight="false" outlineLevel="0" collapsed="false">
      <c r="A15" s="12" t="s">
        <v>112</v>
      </c>
      <c r="B15" s="12" t="s">
        <v>348</v>
      </c>
      <c r="C15" s="12" t="s">
        <v>684</v>
      </c>
      <c r="D15" s="12" t="s">
        <v>349</v>
      </c>
      <c r="E15" s="12" t="n">
        <v>2</v>
      </c>
      <c r="F15" s="12" t="n">
        <v>238</v>
      </c>
      <c r="G15" s="12" t="n">
        <v>8</v>
      </c>
      <c r="H15" s="12" t="n">
        <v>230</v>
      </c>
      <c r="I15" s="12" t="n">
        <v>245</v>
      </c>
      <c r="J15" s="21" t="n">
        <v>9975</v>
      </c>
      <c r="K15" s="21" t="n">
        <f aca="false">F15*1.4</f>
        <v>333.2</v>
      </c>
      <c r="L15" s="21" t="n">
        <f aca="false">F15*3</f>
        <v>714</v>
      </c>
    </row>
    <row r="16" customFormat="false" ht="15" hidden="false" customHeight="false" outlineLevel="0" collapsed="false">
      <c r="A16" s="14" t="s">
        <v>119</v>
      </c>
      <c r="B16" s="14" t="s">
        <v>331</v>
      </c>
      <c r="C16" s="14" t="s">
        <v>685</v>
      </c>
      <c r="D16" s="14" t="s">
        <v>332</v>
      </c>
      <c r="E16" s="14" t="n">
        <v>2</v>
      </c>
      <c r="F16" s="14" t="n">
        <v>88</v>
      </c>
      <c r="G16" s="14" t="n">
        <v>3</v>
      </c>
      <c r="H16" s="14" t="n">
        <v>85</v>
      </c>
      <c r="I16" s="14" t="n">
        <v>90</v>
      </c>
      <c r="J16" s="22" t="n">
        <v>2379</v>
      </c>
      <c r="K16" s="22" t="n">
        <f aca="false">F16*1.4</f>
        <v>123.2</v>
      </c>
      <c r="L16" s="22" t="n">
        <f aca="false">F16*3</f>
        <v>264</v>
      </c>
    </row>
    <row r="17" customFormat="false" ht="15" hidden="false" customHeight="false" outlineLevel="0" collapsed="false">
      <c r="A17" s="12" t="s">
        <v>119</v>
      </c>
      <c r="B17" s="12" t="s">
        <v>322</v>
      </c>
      <c r="C17" s="12" t="s">
        <v>685</v>
      </c>
      <c r="D17" s="12" t="s">
        <v>588</v>
      </c>
      <c r="E17" s="12" t="n">
        <v>1</v>
      </c>
      <c r="F17" s="12" t="n">
        <v>150</v>
      </c>
      <c r="G17" s="12" t="n">
        <v>0</v>
      </c>
      <c r="H17" s="12" t="n">
        <v>150</v>
      </c>
      <c r="I17" s="12" t="n">
        <v>150</v>
      </c>
      <c r="J17" s="21" t="n">
        <v>1440</v>
      </c>
      <c r="K17" s="21" t="n">
        <f aca="false">F17*1.4</f>
        <v>210</v>
      </c>
      <c r="L17" s="21" t="n">
        <f aca="false">F17*3</f>
        <v>450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2B21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52"/>
    <col collapsed="false" customWidth="true" hidden="false" outlineLevel="0" max="8" min="8" style="0" width="36"/>
  </cols>
  <sheetData>
    <row r="1" customFormat="false" ht="27.75" hidden="false" customHeight="true" outlineLevel="0" collapsed="false">
      <c r="A1" s="10" t="s">
        <v>686</v>
      </c>
      <c r="B1" s="10"/>
      <c r="C1" s="10"/>
      <c r="D1" s="10"/>
      <c r="E1" s="10"/>
      <c r="F1" s="10"/>
      <c r="G1" s="10"/>
      <c r="H1" s="10"/>
    </row>
    <row r="2" customFormat="false" ht="36" hidden="false" customHeight="true" outlineLevel="0" collapsed="false">
      <c r="A2" s="11" t="s">
        <v>687</v>
      </c>
      <c r="B2" s="11" t="s">
        <v>688</v>
      </c>
      <c r="C2" s="11" t="s">
        <v>689</v>
      </c>
      <c r="D2" s="11" t="s">
        <v>690</v>
      </c>
      <c r="E2" s="11" t="s">
        <v>691</v>
      </c>
      <c r="F2" s="11" t="s">
        <v>692</v>
      </c>
      <c r="G2" s="11" t="s">
        <v>693</v>
      </c>
      <c r="H2" s="11" t="s">
        <v>694</v>
      </c>
    </row>
    <row r="3" customFormat="false" ht="27.75" hidden="false" customHeight="true" outlineLevel="0" collapsed="false">
      <c r="A3" s="18" t="s">
        <v>695</v>
      </c>
      <c r="B3" s="18" t="s">
        <v>696</v>
      </c>
      <c r="C3" s="18" t="s">
        <v>697</v>
      </c>
      <c r="D3" s="18" t="s">
        <v>698</v>
      </c>
      <c r="E3" s="24" t="s">
        <v>699</v>
      </c>
      <c r="F3" s="18" t="s">
        <v>700</v>
      </c>
      <c r="G3" s="18" t="s">
        <v>701</v>
      </c>
      <c r="H3" s="18" t="s">
        <v>702</v>
      </c>
    </row>
    <row r="4" customFormat="false" ht="27.75" hidden="false" customHeight="true" outlineLevel="0" collapsed="false">
      <c r="A4" s="19" t="s">
        <v>703</v>
      </c>
      <c r="B4" s="19" t="s">
        <v>704</v>
      </c>
      <c r="C4" s="19" t="s">
        <v>697</v>
      </c>
      <c r="D4" s="19" t="s">
        <v>698</v>
      </c>
      <c r="E4" s="24" t="s">
        <v>699</v>
      </c>
      <c r="F4" s="19" t="s">
        <v>700</v>
      </c>
      <c r="G4" s="19" t="s">
        <v>705</v>
      </c>
      <c r="H4" s="19" t="s">
        <v>706</v>
      </c>
    </row>
    <row r="5" customFormat="false" ht="27.75" hidden="false" customHeight="true" outlineLevel="0" collapsed="false">
      <c r="A5" s="18" t="s">
        <v>707</v>
      </c>
      <c r="B5" s="18" t="s">
        <v>708</v>
      </c>
      <c r="C5" s="18" t="s">
        <v>709</v>
      </c>
      <c r="D5" s="18" t="s">
        <v>710</v>
      </c>
      <c r="E5" s="25" t="s">
        <v>711</v>
      </c>
      <c r="F5" s="18" t="s">
        <v>712</v>
      </c>
      <c r="G5" s="18" t="s">
        <v>713</v>
      </c>
      <c r="H5" s="18" t="s">
        <v>714</v>
      </c>
    </row>
    <row r="6" customFormat="false" ht="27.75" hidden="false" customHeight="true" outlineLevel="0" collapsed="false">
      <c r="A6" s="19" t="s">
        <v>707</v>
      </c>
      <c r="B6" s="19" t="s">
        <v>715</v>
      </c>
      <c r="C6" s="19" t="s">
        <v>716</v>
      </c>
      <c r="D6" s="19" t="s">
        <v>717</v>
      </c>
      <c r="E6" s="25" t="s">
        <v>711</v>
      </c>
      <c r="F6" s="19" t="s">
        <v>718</v>
      </c>
      <c r="G6" s="19" t="s">
        <v>719</v>
      </c>
      <c r="H6" s="19" t="s">
        <v>720</v>
      </c>
    </row>
    <row r="7" customFormat="false" ht="27.75" hidden="false" customHeight="true" outlineLevel="0" collapsed="false">
      <c r="A7" s="18" t="s">
        <v>707</v>
      </c>
      <c r="B7" s="18" t="s">
        <v>721</v>
      </c>
      <c r="C7" s="18" t="s">
        <v>709</v>
      </c>
      <c r="D7" s="18" t="s">
        <v>722</v>
      </c>
      <c r="E7" s="26" t="s">
        <v>723</v>
      </c>
      <c r="F7" s="18" t="s">
        <v>724</v>
      </c>
      <c r="G7" s="18" t="s">
        <v>725</v>
      </c>
      <c r="H7" s="18" t="s">
        <v>726</v>
      </c>
    </row>
    <row r="8" customFormat="false" ht="27.75" hidden="false" customHeight="true" outlineLevel="0" collapsed="false">
      <c r="A8" s="19" t="s">
        <v>727</v>
      </c>
      <c r="B8" s="19" t="s">
        <v>104</v>
      </c>
      <c r="C8" s="19" t="s">
        <v>728</v>
      </c>
      <c r="D8" s="19" t="s">
        <v>729</v>
      </c>
      <c r="E8" s="26" t="s">
        <v>723</v>
      </c>
      <c r="F8" s="19" t="s">
        <v>730</v>
      </c>
      <c r="G8" s="19" t="s">
        <v>731</v>
      </c>
      <c r="H8" s="19" t="s">
        <v>732</v>
      </c>
    </row>
    <row r="9" customFormat="false" ht="27.75" hidden="false" customHeight="true" outlineLevel="0" collapsed="false">
      <c r="A9" s="18" t="s">
        <v>733</v>
      </c>
      <c r="B9" s="18" t="s">
        <v>734</v>
      </c>
      <c r="C9" s="18" t="s">
        <v>735</v>
      </c>
      <c r="D9" s="18" t="s">
        <v>736</v>
      </c>
      <c r="E9" s="24" t="s">
        <v>699</v>
      </c>
      <c r="F9" s="18" t="s">
        <v>737</v>
      </c>
      <c r="G9" s="18" t="s">
        <v>738</v>
      </c>
      <c r="H9" s="18" t="s">
        <v>739</v>
      </c>
    </row>
    <row r="10" customFormat="false" ht="27.75" hidden="false" customHeight="true" outlineLevel="0" collapsed="false">
      <c r="A10" s="19" t="s">
        <v>740</v>
      </c>
      <c r="B10" s="19" t="s">
        <v>741</v>
      </c>
      <c r="C10" s="19" t="s">
        <v>742</v>
      </c>
      <c r="D10" s="19" t="s">
        <v>743</v>
      </c>
      <c r="E10" s="27" t="s">
        <v>744</v>
      </c>
      <c r="F10" s="19" t="s">
        <v>724</v>
      </c>
      <c r="G10" s="19" t="s">
        <v>745</v>
      </c>
      <c r="H10" s="19" t="s">
        <v>746</v>
      </c>
    </row>
    <row r="11" customFormat="false" ht="27.75" hidden="false" customHeight="true" outlineLevel="0" collapsed="false">
      <c r="A11" s="18" t="s">
        <v>747</v>
      </c>
      <c r="B11" s="18" t="s">
        <v>748</v>
      </c>
      <c r="C11" s="18" t="s">
        <v>749</v>
      </c>
      <c r="D11" s="18" t="s">
        <v>750</v>
      </c>
      <c r="E11" s="28" t="s">
        <v>751</v>
      </c>
      <c r="F11" s="18" t="s">
        <v>752</v>
      </c>
      <c r="G11" s="18" t="s">
        <v>753</v>
      </c>
      <c r="H11" s="18" t="s">
        <v>754</v>
      </c>
    </row>
    <row r="12" customFormat="false" ht="27.75" hidden="false" customHeight="true" outlineLevel="0" collapsed="false">
      <c r="A12" s="19" t="s">
        <v>695</v>
      </c>
      <c r="B12" s="19" t="s">
        <v>755</v>
      </c>
      <c r="C12" s="19" t="s">
        <v>756</v>
      </c>
      <c r="D12" s="19" t="s">
        <v>757</v>
      </c>
      <c r="E12" s="27" t="s">
        <v>744</v>
      </c>
      <c r="F12" s="19" t="s">
        <v>758</v>
      </c>
      <c r="G12" s="19" t="s">
        <v>759</v>
      </c>
      <c r="H12" s="19" t="s">
        <v>760</v>
      </c>
    </row>
    <row r="13" customFormat="false" ht="27.75" hidden="false" customHeight="true" outlineLevel="0" collapsed="false">
      <c r="A13" s="18" t="s">
        <v>761</v>
      </c>
      <c r="B13" s="18" t="s">
        <v>123</v>
      </c>
      <c r="C13" s="18" t="s">
        <v>762</v>
      </c>
      <c r="D13" s="18" t="s">
        <v>763</v>
      </c>
      <c r="E13" s="28" t="s">
        <v>751</v>
      </c>
      <c r="F13" s="18" t="s">
        <v>764</v>
      </c>
      <c r="G13" s="18" t="s">
        <v>765</v>
      </c>
      <c r="H13" s="18" t="s">
        <v>766</v>
      </c>
    </row>
    <row r="14" customFormat="false" ht="27.75" hidden="false" customHeight="true" outlineLevel="0" collapsed="false">
      <c r="A14" s="19" t="s">
        <v>767</v>
      </c>
      <c r="B14" s="19" t="s">
        <v>768</v>
      </c>
      <c r="C14" s="19" t="s">
        <v>769</v>
      </c>
      <c r="D14" s="19" t="s">
        <v>770</v>
      </c>
      <c r="E14" s="25" t="s">
        <v>711</v>
      </c>
      <c r="F14" s="19" t="s">
        <v>771</v>
      </c>
      <c r="G14" s="19" t="s">
        <v>772</v>
      </c>
      <c r="H14" s="19" t="s">
        <v>773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2026-03-22T19:16:22Z</dcterms:created>
  <dc:creator>openpyxl</dc:creator>
  <dc:description/>
  <dc:language>en-US</dc:language>
  <cp:lastModifiedBy/>
  <dcterms:modified xsi:type="dcterms:W3CDTF">2026-03-22T19:16:22Z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